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jadesanya\Desktop\A dream within a dream\Analysis\Projects\"/>
    </mc:Choice>
  </mc:AlternateContent>
  <xr:revisionPtr revIDLastSave="0" documentId="13_ncr:1_{633E0493-1AB3-4E45-BF38-30DF7E6F40FA}" xr6:coauthVersionLast="47" xr6:coauthVersionMax="47" xr10:uidLastSave="{00000000-0000-0000-0000-000000000000}"/>
  <bookViews>
    <workbookView xWindow="-110" yWindow="-110" windowWidth="19420" windowHeight="10300" xr2:uid="{00000000-000D-0000-FFFF-FFFF00000000}"/>
  </bookViews>
  <sheets>
    <sheet name="Personal Spending Dashboard" sheetId="5" r:id="rId1"/>
    <sheet name="Sheet1" sheetId="1" state="hidden" r:id="rId2"/>
    <sheet name="Pivot Visuals" sheetId="4" state="hidden" r:id="rId3"/>
    <sheet name="Spending Data" sheetId="2" r:id="rId4"/>
    <sheet name="Summary" sheetId="3" state="hidden" r:id="rId5"/>
  </sheets>
  <definedNames>
    <definedName name="Slicer_Category">#N/A</definedName>
    <definedName name="Slicer_Months__Date">#N/A</definedName>
    <definedName name="Slicer_Payment_Method">#N/A</definedName>
    <definedName name="Slicer_Type">#N/A</definedName>
  </definedNames>
  <calcPr calcId="191029"/>
  <pivotCaches>
    <pivotCache cacheId="2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5" l="1"/>
  <c r="B18" i="5"/>
  <c r="A18" i="5"/>
  <c r="C18" i="5" s="1"/>
  <c r="D18" i="5" s="1"/>
  <c r="E51" i="4"/>
  <c r="B51" i="4"/>
  <c r="A51" i="4"/>
  <c r="C51" i="4" s="1"/>
  <c r="D51" i="4" s="1"/>
  <c r="E2" i="3"/>
  <c r="D2" i="3"/>
  <c r="C2" i="3"/>
  <c r="B2" i="3"/>
  <c r="A2" i="3"/>
</calcChain>
</file>

<file path=xl/sharedStrings.xml><?xml version="1.0" encoding="utf-8"?>
<sst xmlns="http://schemas.openxmlformats.org/spreadsheetml/2006/main" count="4643" uniqueCount="74">
  <si>
    <t>Date</t>
  </si>
  <si>
    <t>Category</t>
  </si>
  <si>
    <t>Description</t>
  </si>
  <si>
    <t>Amount</t>
  </si>
  <si>
    <t>Type</t>
  </si>
  <si>
    <t>Payment Method</t>
  </si>
  <si>
    <t>Dining Out</t>
  </si>
  <si>
    <t>Entertainment</t>
  </si>
  <si>
    <t>Healthcare</t>
  </si>
  <si>
    <t>Education</t>
  </si>
  <si>
    <t>Clothing</t>
  </si>
  <si>
    <t>Utilities</t>
  </si>
  <si>
    <t>Insurance</t>
  </si>
  <si>
    <t>Rent</t>
  </si>
  <si>
    <t>Transport</t>
  </si>
  <si>
    <t>Salary</t>
  </si>
  <si>
    <t>Investment</t>
  </si>
  <si>
    <t>Groceries</t>
  </si>
  <si>
    <t>Freelance</t>
  </si>
  <si>
    <t>Restaurant</t>
  </si>
  <si>
    <t>Cinema</t>
  </si>
  <si>
    <t>Doctor Visit</t>
  </si>
  <si>
    <t>Books</t>
  </si>
  <si>
    <t>Shoes</t>
  </si>
  <si>
    <t>Internet Subscription</t>
  </si>
  <si>
    <t>Car Insurance</t>
  </si>
  <si>
    <t>Online Course</t>
  </si>
  <si>
    <t>Apartment Rent</t>
  </si>
  <si>
    <t>Coffee Shop</t>
  </si>
  <si>
    <t>Bus Ticket</t>
  </si>
  <si>
    <t>Quarterly Bonus</t>
  </si>
  <si>
    <t>Dividend</t>
  </si>
  <si>
    <t>Electric Bill</t>
  </si>
  <si>
    <t>Casual Wear</t>
  </si>
  <si>
    <t>Pharmacy</t>
  </si>
  <si>
    <t>Health Insurance</t>
  </si>
  <si>
    <t>Fuel</t>
  </si>
  <si>
    <t>Supermarket</t>
  </si>
  <si>
    <t>Monthly Pay</t>
  </si>
  <si>
    <t>Netflix</t>
  </si>
  <si>
    <t>Local Market</t>
  </si>
  <si>
    <t>Ride Share</t>
  </si>
  <si>
    <t>Water Bill</t>
  </si>
  <si>
    <t>Concert Ticket</t>
  </si>
  <si>
    <t>Consulting Job</t>
  </si>
  <si>
    <t>Interest Income</t>
  </si>
  <si>
    <t>Freelance Design</t>
  </si>
  <si>
    <t>Expense</t>
  </si>
  <si>
    <t>Income</t>
  </si>
  <si>
    <t>Cash</t>
  </si>
  <si>
    <t>Online Transfer</t>
  </si>
  <si>
    <t>Debit Card</t>
  </si>
  <si>
    <t>Credit Card</t>
  </si>
  <si>
    <t>Total Income</t>
  </si>
  <si>
    <t>Total Expense</t>
  </si>
  <si>
    <t>Net Savings</t>
  </si>
  <si>
    <t>Savings Rate</t>
  </si>
  <si>
    <t>Highest Spending Category</t>
  </si>
  <si>
    <t>Row Labels</t>
  </si>
  <si>
    <t>Grand Total</t>
  </si>
  <si>
    <t>Jan</t>
  </si>
  <si>
    <t>Feb</t>
  </si>
  <si>
    <t>Mar</t>
  </si>
  <si>
    <t>Apr</t>
  </si>
  <si>
    <t>May</t>
  </si>
  <si>
    <t>Jun</t>
  </si>
  <si>
    <t>Jul</t>
  </si>
  <si>
    <t>Aug</t>
  </si>
  <si>
    <t>Sep</t>
  </si>
  <si>
    <t>Oct</t>
  </si>
  <si>
    <t>Nov</t>
  </si>
  <si>
    <t>Dec</t>
  </si>
  <si>
    <t>Sum of Amount</t>
  </si>
  <si>
    <t>Personal Spending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</si>
</sst>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hh:mm:ss"/>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1" tint="0.34998626667073579"/>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43" fontId="0" fillId="0" borderId="5" xfId="1" applyFont="1" applyBorder="1" applyAlignment="1">
      <alignment horizontal="center"/>
    </xf>
    <xf numFmtId="43" fontId="0" fillId="0" borderId="6" xfId="1" applyFont="1" applyBorder="1" applyAlignment="1">
      <alignment horizontal="center"/>
    </xf>
    <xf numFmtId="43" fontId="0" fillId="0" borderId="6" xfId="0" applyNumberFormat="1" applyBorder="1" applyAlignment="1">
      <alignment horizontal="center"/>
    </xf>
    <xf numFmtId="9" fontId="0" fillId="0" borderId="6" xfId="2" applyFont="1" applyBorder="1" applyAlignment="1">
      <alignment horizontal="center"/>
    </xf>
    <xf numFmtId="0" fontId="0" fillId="0" borderId="7" xfId="0" applyBorder="1" applyAlignment="1">
      <alignment horizontal="center"/>
    </xf>
    <xf numFmtId="0" fontId="3" fillId="2" borderId="0" xfId="0" applyFont="1" applyFill="1" applyAlignment="1">
      <alignment horizontal="center"/>
    </xf>
  </cellXfs>
  <cellStyles count="3">
    <cellStyle name="Comma" xfId="1" builtinId="3"/>
    <cellStyle name="Normal" xfId="0" builtinId="0"/>
    <cellStyle name="Percent" xfId="2" builtinId="5"/>
  </cellStyles>
  <dxfs count="34">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[Personal_Spending_Budget_Data.xlsx]Pivot Visuals!PivotTable1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Visuals'!$B$3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Visuals'!$A$4:$A$16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Visuals'!$B$4:$B$16</c:f>
              <c:numCache>
                <c:formatCode>General</c:formatCode>
                <c:ptCount val="12"/>
                <c:pt idx="0">
                  <c:v>11285</c:v>
                </c:pt>
                <c:pt idx="1">
                  <c:v>9338</c:v>
                </c:pt>
                <c:pt idx="2">
                  <c:v>9830</c:v>
                </c:pt>
                <c:pt idx="3">
                  <c:v>11130</c:v>
                </c:pt>
                <c:pt idx="4">
                  <c:v>12513</c:v>
                </c:pt>
                <c:pt idx="5">
                  <c:v>13310</c:v>
                </c:pt>
                <c:pt idx="6">
                  <c:v>10638</c:v>
                </c:pt>
                <c:pt idx="7">
                  <c:v>11936</c:v>
                </c:pt>
                <c:pt idx="8">
                  <c:v>10537</c:v>
                </c:pt>
                <c:pt idx="9">
                  <c:v>12504</c:v>
                </c:pt>
                <c:pt idx="10">
                  <c:v>11399</c:v>
                </c:pt>
                <c:pt idx="11">
                  <c:v>12218</c:v>
                </c:pt>
              </c:numCache>
            </c:numRef>
          </c:val>
          <c:smooth val="0"/>
          <c:extLst>
            <c:ext xmlns:c16="http://schemas.microsoft.com/office/drawing/2014/chart" uri="{C3380CC4-5D6E-409C-BE32-E72D297353CC}">
              <c16:uniqueId val="{00000000-60B6-4003-8059-350ADEF7C067}"/>
            </c:ext>
          </c:extLst>
        </c:ser>
        <c:dLbls>
          <c:showLegendKey val="0"/>
          <c:showVal val="0"/>
          <c:showCatName val="0"/>
          <c:showSerName val="0"/>
          <c:showPercent val="0"/>
          <c:showBubbleSize val="0"/>
        </c:dLbls>
        <c:marker val="1"/>
        <c:smooth val="0"/>
        <c:axId val="185376288"/>
        <c:axId val="185378208"/>
      </c:lineChart>
      <c:catAx>
        <c:axId val="18537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78208"/>
        <c:crosses val="autoZero"/>
        <c:auto val="1"/>
        <c:lblAlgn val="ctr"/>
        <c:lblOffset val="100"/>
        <c:noMultiLvlLbl val="0"/>
      </c:catAx>
      <c:valAx>
        <c:axId val="18537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7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[Personal_Spending_Budget_Data.xlsx]Pivot Visuals!PivotTable5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p>
        </c:rich>
      </c:tx>
      <c:layout>
        <c:manualLayout>
          <c:xMode val="edge"/>
          <c:yMode val="edge"/>
          <c:x val="0.37190755081234683"/>
          <c:y val="0.21092155147273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Visuals'!$E$3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061-40C3-9686-13B439BE361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061-40C3-9686-13B439BE361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061-40C3-9686-13B439BE361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061-40C3-9686-13B439BE361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061-40C3-9686-13B439BE361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061-40C3-9686-13B439BE361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061-40C3-9686-13B439BE361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061-40C3-9686-13B439BE361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061-40C3-9686-13B439BE361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061-40C3-9686-13B439BE36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Visuals'!$D$4:$D$14</c:f>
              <c:strCache>
                <c:ptCount val="10"/>
                <c:pt idx="0">
                  <c:v>Clothing</c:v>
                </c:pt>
                <c:pt idx="1">
                  <c:v>Dining Out</c:v>
                </c:pt>
                <c:pt idx="2">
                  <c:v>Education</c:v>
                </c:pt>
                <c:pt idx="3">
                  <c:v>Entertainment</c:v>
                </c:pt>
                <c:pt idx="4">
                  <c:v>Groceries</c:v>
                </c:pt>
                <c:pt idx="5">
                  <c:v>Healthcare</c:v>
                </c:pt>
                <c:pt idx="6">
                  <c:v>Insurance</c:v>
                </c:pt>
                <c:pt idx="7">
                  <c:v>Rent</c:v>
                </c:pt>
                <c:pt idx="8">
                  <c:v>Transport</c:v>
                </c:pt>
                <c:pt idx="9">
                  <c:v>Utilities</c:v>
                </c:pt>
              </c:strCache>
            </c:strRef>
          </c:cat>
          <c:val>
            <c:numRef>
              <c:f>'Pivot Visuals'!$E$4:$E$14</c:f>
              <c:numCache>
                <c:formatCode>General</c:formatCode>
                <c:ptCount val="10"/>
                <c:pt idx="0">
                  <c:v>13754</c:v>
                </c:pt>
                <c:pt idx="1">
                  <c:v>14429</c:v>
                </c:pt>
                <c:pt idx="2">
                  <c:v>12289</c:v>
                </c:pt>
                <c:pt idx="3">
                  <c:v>17789</c:v>
                </c:pt>
                <c:pt idx="4">
                  <c:v>14482</c:v>
                </c:pt>
                <c:pt idx="5">
                  <c:v>11045</c:v>
                </c:pt>
                <c:pt idx="6">
                  <c:v>11527</c:v>
                </c:pt>
                <c:pt idx="7">
                  <c:v>17001</c:v>
                </c:pt>
                <c:pt idx="8">
                  <c:v>13184</c:v>
                </c:pt>
                <c:pt idx="9">
                  <c:v>11138</c:v>
                </c:pt>
              </c:numCache>
            </c:numRef>
          </c:val>
          <c:extLst>
            <c:ext xmlns:c16="http://schemas.microsoft.com/office/drawing/2014/chart" uri="{C3380CC4-5D6E-409C-BE32-E72D297353CC}">
              <c16:uniqueId val="{00000014-8061-40C3-9686-13B439BE361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[Personal_Spending_Budget_Data.xlsx]Pivot Visuals!PivotTable6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Source</a:t>
            </a:r>
            <a:endParaRPr lang="en-US"/>
          </a:p>
        </c:rich>
      </c:tx>
      <c:layout>
        <c:manualLayout>
          <c:xMode val="edge"/>
          <c:yMode val="edge"/>
          <c:x val="0.37909596088518865"/>
          <c:y val="0.2062919218431029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Visuals'!$H$3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Visuals'!$G$4:$G$14</c:f>
              <c:strCache>
                <c:ptCount val="10"/>
                <c:pt idx="0">
                  <c:v>Clothing</c:v>
                </c:pt>
                <c:pt idx="1">
                  <c:v>Dining Out</c:v>
                </c:pt>
                <c:pt idx="2">
                  <c:v>Education</c:v>
                </c:pt>
                <c:pt idx="3">
                  <c:v>Entertainment</c:v>
                </c:pt>
                <c:pt idx="4">
                  <c:v>Groceries</c:v>
                </c:pt>
                <c:pt idx="5">
                  <c:v>Healthcare</c:v>
                </c:pt>
                <c:pt idx="6">
                  <c:v>Insurance</c:v>
                </c:pt>
                <c:pt idx="7">
                  <c:v>Rent</c:v>
                </c:pt>
                <c:pt idx="8">
                  <c:v>Transport</c:v>
                </c:pt>
                <c:pt idx="9">
                  <c:v>Utilities</c:v>
                </c:pt>
              </c:strCache>
            </c:strRef>
          </c:cat>
          <c:val>
            <c:numRef>
              <c:f>'Pivot Visuals'!$H$4:$H$14</c:f>
              <c:numCache>
                <c:formatCode>General</c:formatCode>
                <c:ptCount val="10"/>
                <c:pt idx="0">
                  <c:v>13754</c:v>
                </c:pt>
                <c:pt idx="1">
                  <c:v>14429</c:v>
                </c:pt>
                <c:pt idx="2">
                  <c:v>12289</c:v>
                </c:pt>
                <c:pt idx="3">
                  <c:v>17789</c:v>
                </c:pt>
                <c:pt idx="4">
                  <c:v>14482</c:v>
                </c:pt>
                <c:pt idx="5">
                  <c:v>11045</c:v>
                </c:pt>
                <c:pt idx="6">
                  <c:v>11527</c:v>
                </c:pt>
                <c:pt idx="7">
                  <c:v>17001</c:v>
                </c:pt>
                <c:pt idx="8">
                  <c:v>13184</c:v>
                </c:pt>
                <c:pt idx="9">
                  <c:v>11138</c:v>
                </c:pt>
              </c:numCache>
            </c:numRef>
          </c:val>
          <c:extLst>
            <c:ext xmlns:c16="http://schemas.microsoft.com/office/drawing/2014/chart" uri="{C3380CC4-5D6E-409C-BE32-E72D297353CC}">
              <c16:uniqueId val="{00000000-248D-4C14-8DAC-F1025ECF3A39}"/>
            </c:ext>
          </c:extLst>
        </c:ser>
        <c:dLbls>
          <c:dLblPos val="outEnd"/>
          <c:showLegendKey val="0"/>
          <c:showVal val="1"/>
          <c:showCatName val="0"/>
          <c:showSerName val="0"/>
          <c:showPercent val="0"/>
          <c:showBubbleSize val="0"/>
        </c:dLbls>
        <c:gapWidth val="100"/>
        <c:overlap val="-24"/>
        <c:axId val="2099716543"/>
        <c:axId val="2099714143"/>
      </c:barChart>
      <c:catAx>
        <c:axId val="2099716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714143"/>
        <c:crosses val="autoZero"/>
        <c:auto val="1"/>
        <c:lblAlgn val="ctr"/>
        <c:lblOffset val="100"/>
        <c:noMultiLvlLbl val="0"/>
      </c:catAx>
      <c:valAx>
        <c:axId val="2099714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71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[Personal_Spending_Budget_Data.xlsx]Pivot Visuals!PivotTable1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Spending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Visuals'!$B$3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Visuals'!$A$4:$A$16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Visuals'!$B$4:$B$16</c:f>
              <c:numCache>
                <c:formatCode>General</c:formatCode>
                <c:ptCount val="12"/>
                <c:pt idx="0">
                  <c:v>11285</c:v>
                </c:pt>
                <c:pt idx="1">
                  <c:v>9338</c:v>
                </c:pt>
                <c:pt idx="2">
                  <c:v>9830</c:v>
                </c:pt>
                <c:pt idx="3">
                  <c:v>11130</c:v>
                </c:pt>
                <c:pt idx="4">
                  <c:v>12513</c:v>
                </c:pt>
                <c:pt idx="5">
                  <c:v>13310</c:v>
                </c:pt>
                <c:pt idx="6">
                  <c:v>10638</c:v>
                </c:pt>
                <c:pt idx="7">
                  <c:v>11936</c:v>
                </c:pt>
                <c:pt idx="8">
                  <c:v>10537</c:v>
                </c:pt>
                <c:pt idx="9">
                  <c:v>12504</c:v>
                </c:pt>
                <c:pt idx="10">
                  <c:v>11399</c:v>
                </c:pt>
                <c:pt idx="11">
                  <c:v>12218</c:v>
                </c:pt>
              </c:numCache>
            </c:numRef>
          </c:val>
          <c:smooth val="0"/>
          <c:extLst>
            <c:ext xmlns:c16="http://schemas.microsoft.com/office/drawing/2014/chart" uri="{C3380CC4-5D6E-409C-BE32-E72D297353CC}">
              <c16:uniqueId val="{00000000-1571-4D73-A334-BEA58E9EA7B1}"/>
            </c:ext>
          </c:extLst>
        </c:ser>
        <c:dLbls>
          <c:showLegendKey val="0"/>
          <c:showVal val="0"/>
          <c:showCatName val="0"/>
          <c:showSerName val="0"/>
          <c:showPercent val="0"/>
          <c:showBubbleSize val="0"/>
        </c:dLbls>
        <c:marker val="1"/>
        <c:smooth val="0"/>
        <c:axId val="185376288"/>
        <c:axId val="185378208"/>
      </c:lineChart>
      <c:catAx>
        <c:axId val="18537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78208"/>
        <c:crosses val="autoZero"/>
        <c:auto val="1"/>
        <c:lblAlgn val="ctr"/>
        <c:lblOffset val="100"/>
        <c:noMultiLvlLbl val="0"/>
      </c:catAx>
      <c:valAx>
        <c:axId val="18537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7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[Personal_Spending_Budget_Data.xlsx]Pivot Visuals!PivotTable5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Spending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Visuals'!$E$3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9FA-41F9-8A12-11339B9EAA5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9FA-41F9-8A12-11339B9EAA5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9FA-41F9-8A12-11339B9EAA5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9FA-41F9-8A12-11339B9EAA5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9FA-41F9-8A12-11339B9EAA5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9FA-41F9-8A12-11339B9EAA5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9FA-41F9-8A12-11339B9EAA5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D9FA-41F9-8A12-11339B9EAA5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D9FA-41F9-8A12-11339B9EAA5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D9FA-41F9-8A12-11339B9EA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Visuals'!$D$4:$D$14</c:f>
              <c:strCache>
                <c:ptCount val="10"/>
                <c:pt idx="0">
                  <c:v>Clothing</c:v>
                </c:pt>
                <c:pt idx="1">
                  <c:v>Dining Out</c:v>
                </c:pt>
                <c:pt idx="2">
                  <c:v>Education</c:v>
                </c:pt>
                <c:pt idx="3">
                  <c:v>Entertainment</c:v>
                </c:pt>
                <c:pt idx="4">
                  <c:v>Groceries</c:v>
                </c:pt>
                <c:pt idx="5">
                  <c:v>Healthcare</c:v>
                </c:pt>
                <c:pt idx="6">
                  <c:v>Insurance</c:v>
                </c:pt>
                <c:pt idx="7">
                  <c:v>Rent</c:v>
                </c:pt>
                <c:pt idx="8">
                  <c:v>Transport</c:v>
                </c:pt>
                <c:pt idx="9">
                  <c:v>Utilities</c:v>
                </c:pt>
              </c:strCache>
            </c:strRef>
          </c:cat>
          <c:val>
            <c:numRef>
              <c:f>'Pivot Visuals'!$E$4:$E$14</c:f>
              <c:numCache>
                <c:formatCode>General</c:formatCode>
                <c:ptCount val="10"/>
                <c:pt idx="0">
                  <c:v>13754</c:v>
                </c:pt>
                <c:pt idx="1">
                  <c:v>14429</c:v>
                </c:pt>
                <c:pt idx="2">
                  <c:v>12289</c:v>
                </c:pt>
                <c:pt idx="3">
                  <c:v>17789</c:v>
                </c:pt>
                <c:pt idx="4">
                  <c:v>14482</c:v>
                </c:pt>
                <c:pt idx="5">
                  <c:v>11045</c:v>
                </c:pt>
                <c:pt idx="6">
                  <c:v>11527</c:v>
                </c:pt>
                <c:pt idx="7">
                  <c:v>17001</c:v>
                </c:pt>
                <c:pt idx="8">
                  <c:v>13184</c:v>
                </c:pt>
                <c:pt idx="9">
                  <c:v>11138</c:v>
                </c:pt>
              </c:numCache>
            </c:numRef>
          </c:val>
          <c:extLst>
            <c:ext xmlns:c16="http://schemas.microsoft.com/office/drawing/2014/chart" uri="{C3380CC4-5D6E-409C-BE32-E72D297353CC}">
              <c16:uniqueId val="{00000000-3D97-49A2-AC1E-0C66179BD4A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[Personal_Spending_Budget_Data.xlsx]Pivot Visuals!PivotTable6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a:t>
            </a:r>
            <a:r>
              <a:rPr lang="en-US" baseline="0"/>
              <a:t> BY Source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Visuals'!$H$3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Visuals'!$G$4:$G$14</c:f>
              <c:strCache>
                <c:ptCount val="10"/>
                <c:pt idx="0">
                  <c:v>Clothing</c:v>
                </c:pt>
                <c:pt idx="1">
                  <c:v>Dining Out</c:v>
                </c:pt>
                <c:pt idx="2">
                  <c:v>Education</c:v>
                </c:pt>
                <c:pt idx="3">
                  <c:v>Entertainment</c:v>
                </c:pt>
                <c:pt idx="4">
                  <c:v>Groceries</c:v>
                </c:pt>
                <c:pt idx="5">
                  <c:v>Healthcare</c:v>
                </c:pt>
                <c:pt idx="6">
                  <c:v>Insurance</c:v>
                </c:pt>
                <c:pt idx="7">
                  <c:v>Rent</c:v>
                </c:pt>
                <c:pt idx="8">
                  <c:v>Transport</c:v>
                </c:pt>
                <c:pt idx="9">
                  <c:v>Utilities</c:v>
                </c:pt>
              </c:strCache>
            </c:strRef>
          </c:cat>
          <c:val>
            <c:numRef>
              <c:f>'Pivot Visuals'!$H$4:$H$14</c:f>
              <c:numCache>
                <c:formatCode>General</c:formatCode>
                <c:ptCount val="10"/>
                <c:pt idx="0">
                  <c:v>13754</c:v>
                </c:pt>
                <c:pt idx="1">
                  <c:v>14429</c:v>
                </c:pt>
                <c:pt idx="2">
                  <c:v>12289</c:v>
                </c:pt>
                <c:pt idx="3">
                  <c:v>17789</c:v>
                </c:pt>
                <c:pt idx="4">
                  <c:v>14482</c:v>
                </c:pt>
                <c:pt idx="5">
                  <c:v>11045</c:v>
                </c:pt>
                <c:pt idx="6">
                  <c:v>11527</c:v>
                </c:pt>
                <c:pt idx="7">
                  <c:v>17001</c:v>
                </c:pt>
                <c:pt idx="8">
                  <c:v>13184</c:v>
                </c:pt>
                <c:pt idx="9">
                  <c:v>11138</c:v>
                </c:pt>
              </c:numCache>
            </c:numRef>
          </c:val>
          <c:extLst>
            <c:ext xmlns:c16="http://schemas.microsoft.com/office/drawing/2014/chart" uri="{C3380CC4-5D6E-409C-BE32-E72D297353CC}">
              <c16:uniqueId val="{00000000-2077-4907-B18C-B64C19001FB9}"/>
            </c:ext>
          </c:extLst>
        </c:ser>
        <c:dLbls>
          <c:dLblPos val="outEnd"/>
          <c:showLegendKey val="0"/>
          <c:showVal val="1"/>
          <c:showCatName val="0"/>
          <c:showSerName val="0"/>
          <c:showPercent val="0"/>
          <c:showBubbleSize val="0"/>
        </c:dLbls>
        <c:gapWidth val="100"/>
        <c:overlap val="-24"/>
        <c:axId val="2099716543"/>
        <c:axId val="2099714143"/>
      </c:barChart>
      <c:catAx>
        <c:axId val="2099716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714143"/>
        <c:crosses val="autoZero"/>
        <c:auto val="1"/>
        <c:lblAlgn val="ctr"/>
        <c:lblOffset val="100"/>
        <c:noMultiLvlLbl val="0"/>
      </c:catAx>
      <c:valAx>
        <c:axId val="2099714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71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692150</xdr:colOff>
      <xdr:row>14</xdr:row>
      <xdr:rowOff>130175</xdr:rowOff>
    </xdr:to>
    <mc:AlternateContent xmlns:mc="http://schemas.openxmlformats.org/markup-compatibility/2006" xmlns:a14="http://schemas.microsoft.com/office/drawing/2010/main">
      <mc:Choice Requires="a14">
        <xdr:graphicFrame macro="">
          <xdr:nvGraphicFramePr>
            <xdr:cNvPr id="2" name="Months (Date) 1">
              <a:extLst>
                <a:ext uri="{FF2B5EF4-FFF2-40B4-BE49-F238E27FC236}">
                  <a16:creationId xmlns:a16="http://schemas.microsoft.com/office/drawing/2014/main" id="{A0654C27-EDA2-476F-B6B5-1465A8D466F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0" y="179917"/>
              <a:ext cx="1824567" cy="246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685800</xdr:colOff>
      <xdr:row>1</xdr:row>
      <xdr:rowOff>0</xdr:rowOff>
    </xdr:from>
    <xdr:to>
      <xdr:col>3</xdr:col>
      <xdr:colOff>82550</xdr:colOff>
      <xdr:row>14</xdr:row>
      <xdr:rowOff>130175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A4530BAC-80BC-4249-AF13-B8398A0B3AE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18217" y="179917"/>
              <a:ext cx="1830916" cy="246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xdr:row>
      <xdr:rowOff>0</xdr:rowOff>
    </xdr:from>
    <xdr:to>
      <xdr:col>4</xdr:col>
      <xdr:colOff>819150</xdr:colOff>
      <xdr:row>14</xdr:row>
      <xdr:rowOff>130175</xdr:rowOff>
    </xdr:to>
    <mc:AlternateContent xmlns:mc="http://schemas.openxmlformats.org/markup-compatibility/2006" xmlns:a14="http://schemas.microsoft.com/office/drawing/2010/main">
      <mc:Choice Requires="a14">
        <xdr:graphicFrame macro="">
          <xdr:nvGraphicFramePr>
            <xdr:cNvPr id="4" name="Payment Method 1">
              <a:extLst>
                <a:ext uri="{FF2B5EF4-FFF2-40B4-BE49-F238E27FC236}">
                  <a16:creationId xmlns:a16="http://schemas.microsoft.com/office/drawing/2014/main" id="{0BDD6C28-05DF-4A82-9AA8-E9255DE2971E}"/>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3642783" y="179917"/>
              <a:ext cx="1833034" cy="246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812800</xdr:colOff>
      <xdr:row>1</xdr:row>
      <xdr:rowOff>0</xdr:rowOff>
    </xdr:from>
    <xdr:to>
      <xdr:col>6</xdr:col>
      <xdr:colOff>336550</xdr:colOff>
      <xdr:row>14</xdr:row>
      <xdr:rowOff>130175</xdr:rowOff>
    </xdr:to>
    <mc:AlternateContent xmlns:mc="http://schemas.openxmlformats.org/markup-compatibility/2006" xmlns:a14="http://schemas.microsoft.com/office/drawing/2010/main">
      <mc:Choice Requires="a14">
        <xdr:graphicFrame macro="">
          <xdr:nvGraphicFramePr>
            <xdr:cNvPr id="5" name="Type 1">
              <a:extLst>
                <a:ext uri="{FF2B5EF4-FFF2-40B4-BE49-F238E27FC236}">
                  <a16:creationId xmlns:a16="http://schemas.microsoft.com/office/drawing/2014/main" id="{BB87F07B-7403-4977-971C-41927CC85D80}"/>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5469467" y="179917"/>
              <a:ext cx="1830916" cy="246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0</xdr:rowOff>
    </xdr:from>
    <xdr:to>
      <xdr:col>4</xdr:col>
      <xdr:colOff>438150</xdr:colOff>
      <xdr:row>33</xdr:row>
      <xdr:rowOff>165100</xdr:rowOff>
    </xdr:to>
    <xdr:graphicFrame macro="">
      <xdr:nvGraphicFramePr>
        <xdr:cNvPr id="6" name="Chart 5">
          <a:extLst>
            <a:ext uri="{FF2B5EF4-FFF2-40B4-BE49-F238E27FC236}">
              <a16:creationId xmlns:a16="http://schemas.microsoft.com/office/drawing/2014/main" id="{9E116EE9-AB81-4960-BA1B-62DD69B4F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3</xdr:col>
      <xdr:colOff>1041400</xdr:colOff>
      <xdr:row>49</xdr:row>
      <xdr:rowOff>165100</xdr:rowOff>
    </xdr:to>
    <xdr:graphicFrame macro="">
      <xdr:nvGraphicFramePr>
        <xdr:cNvPr id="7" name="Chart 6">
          <a:extLst>
            <a:ext uri="{FF2B5EF4-FFF2-40B4-BE49-F238E27FC236}">
              <a16:creationId xmlns:a16="http://schemas.microsoft.com/office/drawing/2014/main" id="{ECA88525-F3FC-4864-B3D0-4DB661B53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51</xdr:row>
      <xdr:rowOff>0</xdr:rowOff>
    </xdr:from>
    <xdr:to>
      <xdr:col>4</xdr:col>
      <xdr:colOff>438150</xdr:colOff>
      <xdr:row>65</xdr:row>
      <xdr:rowOff>165100</xdr:rowOff>
    </xdr:to>
    <xdr:graphicFrame macro="">
      <xdr:nvGraphicFramePr>
        <xdr:cNvPr id="8" name="Chart 7">
          <a:extLst>
            <a:ext uri="{FF2B5EF4-FFF2-40B4-BE49-F238E27FC236}">
              <a16:creationId xmlns:a16="http://schemas.microsoft.com/office/drawing/2014/main" id="{6A468091-A918-480D-B504-73EDB9651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16</xdr:row>
      <xdr:rowOff>136525</xdr:rowOff>
    </xdr:from>
    <xdr:to>
      <xdr:col>5</xdr:col>
      <xdr:colOff>247650</xdr:colOff>
      <xdr:row>31</xdr:row>
      <xdr:rowOff>117475</xdr:rowOff>
    </xdr:to>
    <xdr:graphicFrame macro="">
      <xdr:nvGraphicFramePr>
        <xdr:cNvPr id="2" name="Chart 1">
          <a:extLst>
            <a:ext uri="{FF2B5EF4-FFF2-40B4-BE49-F238E27FC236}">
              <a16:creationId xmlns:a16="http://schemas.microsoft.com/office/drawing/2014/main" id="{2B6B01D9-F503-483C-F3F7-A1E32906F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482600</xdr:colOff>
      <xdr:row>16</xdr:row>
      <xdr:rowOff>130175</xdr:rowOff>
    </xdr:from>
    <xdr:to>
      <xdr:col>12</xdr:col>
      <xdr:colOff>165100</xdr:colOff>
      <xdr:row>31</xdr:row>
      <xdr:rowOff>111125</xdr:rowOff>
    </xdr:to>
    <xdr:graphicFrame macro="">
      <xdr:nvGraphicFramePr>
        <xdr:cNvPr id="5" name="Chart 4">
          <a:extLst>
            <a:ext uri="{FF2B5EF4-FFF2-40B4-BE49-F238E27FC236}">
              <a16:creationId xmlns:a16="http://schemas.microsoft.com/office/drawing/2014/main" id="{0AEA38F7-59D4-BE31-7976-0336764DE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15875</xdr:rowOff>
    </xdr:from>
    <xdr:to>
      <xdr:col>5</xdr:col>
      <xdr:colOff>241300</xdr:colOff>
      <xdr:row>46</xdr:row>
      <xdr:rowOff>180975</xdr:rowOff>
    </xdr:to>
    <xdr:graphicFrame macro="">
      <xdr:nvGraphicFramePr>
        <xdr:cNvPr id="6" name="Chart 5">
          <a:extLst>
            <a:ext uri="{FF2B5EF4-FFF2-40B4-BE49-F238E27FC236}">
              <a16:creationId xmlns:a16="http://schemas.microsoft.com/office/drawing/2014/main" id="{64770A9A-E9C9-CA64-A913-D92F219B9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533400</xdr:colOff>
      <xdr:row>14</xdr:row>
      <xdr:rowOff>38100</xdr:rowOff>
    </xdr:from>
    <xdr:to>
      <xdr:col>17</xdr:col>
      <xdr:colOff>533400</xdr:colOff>
      <xdr:row>27</xdr:row>
      <xdr:rowOff>168275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B14E4C2-2FFF-B88F-EB9A-618FB57875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31600" y="261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508000</xdr:colOff>
      <xdr:row>0</xdr:row>
      <xdr:rowOff>6350</xdr:rowOff>
    </xdr:from>
    <xdr:to>
      <xdr:col>17</xdr:col>
      <xdr:colOff>508000</xdr:colOff>
      <xdr:row>13</xdr:row>
      <xdr:rowOff>136525</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177FCF09-FFD8-8E6A-12AB-777312DCD82D}"/>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506200" y="6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368300</xdr:colOff>
      <xdr:row>0</xdr:row>
      <xdr:rowOff>0</xdr:rowOff>
    </xdr:from>
    <xdr:to>
      <xdr:col>14</xdr:col>
      <xdr:colOff>368300</xdr:colOff>
      <xdr:row>13</xdr:row>
      <xdr:rowOff>130175</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F951487A-2F3C-1615-7738-FC8863B7E1C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377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292100</xdr:colOff>
      <xdr:row>0</xdr:row>
      <xdr:rowOff>25400</xdr:rowOff>
    </xdr:from>
    <xdr:to>
      <xdr:col>11</xdr:col>
      <xdr:colOff>292100</xdr:colOff>
      <xdr:row>13</xdr:row>
      <xdr:rowOff>155575</xdr:rowOff>
    </xdr:to>
    <mc:AlternateContent xmlns:mc="http://schemas.openxmlformats.org/markup-compatibility/2006" xmlns:a14="http://schemas.microsoft.com/office/drawing/2010/main">
      <mc:Choice Requires="a14">
        <xdr:graphicFrame macro="">
          <xdr:nvGraphicFramePr>
            <xdr:cNvPr id="13" name="Months (Date)">
              <a:extLst>
                <a:ext uri="{FF2B5EF4-FFF2-40B4-BE49-F238E27FC236}">
                  <a16:creationId xmlns:a16="http://schemas.microsoft.com/office/drawing/2014/main" id="{D3817DE4-00DA-49BC-4E46-5EEF02A2B33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632700" y="25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anya, James" refreshedDate="45944.040151620371" createdVersion="8" refreshedVersion="8" minRefreshableVersion="3" recordCount="571" xr:uid="{24F8A436-B96A-4FE8-985A-017AEF843828}">
  <cacheSource type="worksheet">
    <worksheetSource name="SpendingData"/>
  </cacheSource>
  <cacheFields count="8">
    <cacheField name="Date" numFmtId="16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7"/>
    </cacheField>
    <cacheField name="Category" numFmtId="0">
      <sharedItems count="13">
        <s v="Dining Out"/>
        <s v="Entertainment"/>
        <s v="Healthcare"/>
        <s v="Education"/>
        <s v="Clothing"/>
        <s v="Utilities"/>
        <s v="Insurance"/>
        <s v="Rent"/>
        <s v="Transport"/>
        <s v="Salary"/>
        <s v="Investment"/>
        <s v="Groceries"/>
        <s v="Freelance"/>
      </sharedItems>
    </cacheField>
    <cacheField name="Description" numFmtId="0">
      <sharedItems/>
    </cacheField>
    <cacheField name="Amount" numFmtId="0">
      <sharedItems containsSemiMixedTypes="0" containsString="0" containsNumber="1" containsInteger="1" minValue="6" maxValue="3920" count="353">
        <n v="25"/>
        <n v="104"/>
        <n v="348"/>
        <n v="196"/>
        <n v="257"/>
        <n v="479"/>
        <n v="248"/>
        <n v="489"/>
        <n v="392"/>
        <n v="350"/>
        <n v="344"/>
        <n v="39"/>
        <n v="6"/>
        <n v="110"/>
        <n v="222"/>
        <n v="355"/>
        <n v="219"/>
        <n v="837"/>
        <n v="221"/>
        <n v="19"/>
        <n v="1867"/>
        <n v="67"/>
        <n v="396"/>
        <n v="235"/>
        <n v="272"/>
        <n v="220"/>
        <n v="435"/>
        <n v="259"/>
        <n v="384"/>
        <n v="56"/>
        <n v="164"/>
        <n v="174"/>
        <n v="138"/>
        <n v="450"/>
        <n v="352"/>
        <n v="287"/>
        <n v="1782"/>
        <n v="141"/>
        <n v="311"/>
        <n v="100"/>
        <n v="105"/>
        <n v="191"/>
        <n v="407"/>
        <n v="202"/>
        <n v="443"/>
        <n v="329"/>
        <n v="128"/>
        <n v="353"/>
        <n v="493"/>
        <n v="43"/>
        <n v="438"/>
        <n v="256"/>
        <n v="64"/>
        <n v="237"/>
        <n v="124"/>
        <n v="79"/>
        <n v="258"/>
        <n v="157"/>
        <n v="198"/>
        <n v="173"/>
        <n v="199"/>
        <n v="379"/>
        <n v="369"/>
        <n v="281"/>
        <n v="321"/>
        <n v="21"/>
        <n v="103"/>
        <n v="801"/>
        <n v="120"/>
        <n v="260"/>
        <n v="285"/>
        <n v="284"/>
        <n v="454"/>
        <n v="108"/>
        <n v="250"/>
        <n v="359"/>
        <n v="17"/>
        <n v="24"/>
        <n v="3201"/>
        <n v="96"/>
        <n v="62"/>
        <n v="58"/>
        <n v="268"/>
        <n v="200"/>
        <n v="51"/>
        <n v="233"/>
        <n v="283"/>
        <n v="126"/>
        <n v="93"/>
        <n v="276"/>
        <n v="1496"/>
        <n v="98"/>
        <n v="436"/>
        <n v="254"/>
        <n v="184"/>
        <n v="151"/>
        <n v="8"/>
        <n v="251"/>
        <n v="2187"/>
        <n v="421"/>
        <n v="47"/>
        <n v="3517"/>
        <n v="119"/>
        <n v="318"/>
        <n v="461"/>
        <n v="156"/>
        <n v="66"/>
        <n v="80"/>
        <n v="371"/>
        <n v="155"/>
        <n v="190"/>
        <n v="243"/>
        <n v="234"/>
        <n v="397"/>
        <n v="169"/>
        <n v="325"/>
        <n v="305"/>
        <n v="368"/>
        <n v="206"/>
        <n v="145"/>
        <n v="480"/>
        <n v="391"/>
        <n v="316"/>
        <n v="177"/>
        <n v="217"/>
        <n v="16"/>
        <n v="412"/>
        <n v="32"/>
        <n v="232"/>
        <n v="394"/>
        <n v="307"/>
        <n v="255"/>
        <n v="293"/>
        <n v="345"/>
        <n v="319"/>
        <n v="109"/>
        <n v="441"/>
        <n v="87"/>
        <n v="292"/>
        <n v="263"/>
        <n v="393"/>
        <n v="70"/>
        <n v="298"/>
        <n v="342"/>
        <n v="312"/>
        <n v="55"/>
        <n v="266"/>
        <n v="253"/>
        <n v="99"/>
        <n v="97"/>
        <n v="137"/>
        <n v="437"/>
        <n v="415"/>
        <n v="296"/>
        <n v="475"/>
        <n v="1526"/>
        <n v="445"/>
        <n v="398"/>
        <n v="474"/>
        <n v="373"/>
        <n v="335"/>
        <n v="728"/>
        <n v="472"/>
        <n v="339"/>
        <n v="414"/>
        <n v="117"/>
        <n v="146"/>
        <n v="495"/>
        <n v="182"/>
        <n v="390"/>
        <n v="463"/>
        <n v="338"/>
        <n v="324"/>
        <n v="1372"/>
        <n v="82"/>
        <n v="406"/>
        <n v="426"/>
        <n v="147"/>
        <n v="466"/>
        <n v="452"/>
        <n v="482"/>
        <n v="101"/>
        <n v="122"/>
        <n v="161"/>
        <n v="303"/>
        <n v="175"/>
        <n v="380"/>
        <n v="218"/>
        <n v="428"/>
        <n v="158"/>
        <n v="395"/>
        <n v="351"/>
        <n v="181"/>
        <n v="160"/>
        <n v="365"/>
        <n v="331"/>
        <n v="383"/>
        <n v="481"/>
        <n v="22"/>
        <n v="323"/>
        <n v="417"/>
        <n v="471"/>
        <n v="3920"/>
        <n v="327"/>
        <n v="499"/>
        <n v="186"/>
        <n v="11"/>
        <n v="116"/>
        <n v="400"/>
        <n v="57"/>
        <n v="346"/>
        <n v="498"/>
        <n v="241"/>
        <n v="33"/>
        <n v="2589"/>
        <n v="366"/>
        <n v="317"/>
        <n v="459"/>
        <n v="314"/>
        <n v="286"/>
        <n v="73"/>
        <n v="40"/>
        <n v="341"/>
        <n v="205"/>
        <n v="29"/>
        <n v="607"/>
        <n v="468"/>
        <n v="1210"/>
        <n v="90"/>
        <n v="86"/>
        <n v="487"/>
        <n v="163"/>
        <n v="135"/>
        <n v="187"/>
        <n v="3044"/>
        <n v="401"/>
        <n v="386"/>
        <n v="2961"/>
        <n v="420"/>
        <n v="444"/>
        <n v="363"/>
        <n v="328"/>
        <n v="309"/>
        <n v="65"/>
        <n v="230"/>
        <n v="13"/>
        <n v="245"/>
        <n v="273"/>
        <n v="402"/>
        <n v="127"/>
        <n v="336"/>
        <n v="399"/>
        <n v="476"/>
        <n v="288"/>
        <n v="228"/>
        <n v="357"/>
        <n v="239"/>
        <n v="35"/>
        <n v="2074"/>
        <n v="210"/>
        <n v="364"/>
        <n v="167"/>
        <n v="418"/>
        <n v="282"/>
        <n v="410"/>
        <n v="231"/>
        <n v="289"/>
        <n v="179"/>
        <n v="2850"/>
        <n v="434"/>
        <n v="31"/>
        <n v="3463"/>
        <n v="170"/>
        <n v="15"/>
        <n v="106"/>
        <n v="1611"/>
        <n v="94"/>
        <n v="2494"/>
        <n v="1215"/>
        <n v="115"/>
        <n v="123"/>
        <n v="458"/>
        <n v="63"/>
        <n v="1855"/>
        <n v="446"/>
        <n v="297"/>
        <n v="299"/>
        <n v="44"/>
        <n v="497"/>
        <n v="477"/>
        <n v="464"/>
        <n v="354"/>
        <n v="378"/>
        <n v="1558"/>
        <n v="185"/>
        <n v="227"/>
        <n v="411"/>
        <n v="238"/>
        <n v="149"/>
        <n v="236"/>
        <n v="2487"/>
        <n v="77"/>
        <n v="180"/>
        <n v="23"/>
        <n v="3647"/>
        <n v="320"/>
        <n v="432"/>
        <n v="3521"/>
        <n v="89"/>
        <n v="111"/>
        <n v="207"/>
        <n v="969"/>
        <n v="424"/>
        <n v="349"/>
        <n v="449"/>
        <n v="88"/>
        <n v="224"/>
        <n v="275"/>
        <n v="150"/>
        <n v="165"/>
        <n v="154"/>
        <n v="413"/>
        <n v="134"/>
        <n v="204"/>
        <n v="457"/>
        <n v="212"/>
        <n v="148"/>
        <n v="785"/>
        <n v="470"/>
        <n v="118"/>
        <n v="162"/>
        <n v="340"/>
        <n v="2103"/>
        <n v="291"/>
        <n v="422"/>
        <n v="264"/>
        <n v="996"/>
        <n v="121"/>
        <n v="440"/>
        <n v="133"/>
        <n v="246"/>
        <n v="91"/>
        <n v="419"/>
        <n v="265"/>
        <n v="140"/>
        <n v="467"/>
        <n v="2113"/>
        <n v="492"/>
        <n v="409"/>
        <n v="153"/>
        <n v="240"/>
        <n v="262"/>
        <n v="92"/>
      </sharedItems>
    </cacheField>
    <cacheField name="Type" numFmtId="0">
      <sharedItems count="2">
        <s v="Expense"/>
        <s v="Income"/>
      </sharedItems>
    </cacheField>
    <cacheField name="Payment Method" numFmtId="0">
      <sharedItems count="4">
        <s v="Cash"/>
        <s v="Online Transfer"/>
        <s v="Debit Card"/>
        <s v="Credit Card"/>
      </sharedItems>
    </cacheField>
    <cacheField name="Days (Date)" numFmtId="0" databaseField="0">
      <fieldGroup base="0">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0">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606821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1">
  <r>
    <x v="0"/>
    <x v="0"/>
    <s v="Restaurant"/>
    <x v="0"/>
    <x v="0"/>
    <x v="0"/>
  </r>
  <r>
    <x v="1"/>
    <x v="0"/>
    <s v="Restaurant"/>
    <x v="1"/>
    <x v="0"/>
    <x v="1"/>
  </r>
  <r>
    <x v="2"/>
    <x v="1"/>
    <s v="Cinema"/>
    <x v="2"/>
    <x v="0"/>
    <x v="1"/>
  </r>
  <r>
    <x v="2"/>
    <x v="2"/>
    <s v="Doctor Visit"/>
    <x v="3"/>
    <x v="0"/>
    <x v="1"/>
  </r>
  <r>
    <x v="3"/>
    <x v="3"/>
    <s v="Books"/>
    <x v="4"/>
    <x v="0"/>
    <x v="1"/>
  </r>
  <r>
    <x v="3"/>
    <x v="4"/>
    <s v="Shoes"/>
    <x v="5"/>
    <x v="0"/>
    <x v="0"/>
  </r>
  <r>
    <x v="4"/>
    <x v="5"/>
    <s v="Internet Subscription"/>
    <x v="6"/>
    <x v="0"/>
    <x v="1"/>
  </r>
  <r>
    <x v="4"/>
    <x v="4"/>
    <s v="Shoes"/>
    <x v="7"/>
    <x v="0"/>
    <x v="0"/>
  </r>
  <r>
    <x v="5"/>
    <x v="6"/>
    <s v="Car Insurance"/>
    <x v="8"/>
    <x v="0"/>
    <x v="2"/>
  </r>
  <r>
    <x v="6"/>
    <x v="3"/>
    <s v="Online Course"/>
    <x v="9"/>
    <x v="0"/>
    <x v="2"/>
  </r>
  <r>
    <x v="6"/>
    <x v="7"/>
    <s v="Apartment Rent"/>
    <x v="10"/>
    <x v="0"/>
    <x v="1"/>
  </r>
  <r>
    <x v="7"/>
    <x v="0"/>
    <s v="Restaurant"/>
    <x v="11"/>
    <x v="0"/>
    <x v="3"/>
  </r>
  <r>
    <x v="8"/>
    <x v="0"/>
    <s v="Coffee Shop"/>
    <x v="12"/>
    <x v="0"/>
    <x v="3"/>
  </r>
  <r>
    <x v="8"/>
    <x v="2"/>
    <s v="Doctor Visit"/>
    <x v="13"/>
    <x v="0"/>
    <x v="1"/>
  </r>
  <r>
    <x v="9"/>
    <x v="7"/>
    <s v="Apartment Rent"/>
    <x v="14"/>
    <x v="0"/>
    <x v="1"/>
  </r>
  <r>
    <x v="10"/>
    <x v="8"/>
    <s v="Bus Ticket"/>
    <x v="15"/>
    <x v="0"/>
    <x v="1"/>
  </r>
  <r>
    <x v="10"/>
    <x v="0"/>
    <s v="Coffee Shop"/>
    <x v="16"/>
    <x v="0"/>
    <x v="1"/>
  </r>
  <r>
    <x v="11"/>
    <x v="9"/>
    <s v="Quarterly Bonus"/>
    <x v="17"/>
    <x v="1"/>
    <x v="0"/>
  </r>
  <r>
    <x v="11"/>
    <x v="0"/>
    <s v="Coffee Shop"/>
    <x v="18"/>
    <x v="0"/>
    <x v="1"/>
  </r>
  <r>
    <x v="12"/>
    <x v="4"/>
    <s v="Shoes"/>
    <x v="19"/>
    <x v="0"/>
    <x v="2"/>
  </r>
  <r>
    <x v="13"/>
    <x v="10"/>
    <s v="Dividend"/>
    <x v="20"/>
    <x v="1"/>
    <x v="2"/>
  </r>
  <r>
    <x v="13"/>
    <x v="0"/>
    <s v="Coffee Shop"/>
    <x v="21"/>
    <x v="0"/>
    <x v="0"/>
  </r>
  <r>
    <x v="13"/>
    <x v="5"/>
    <s v="Electric Bill"/>
    <x v="22"/>
    <x v="0"/>
    <x v="0"/>
  </r>
  <r>
    <x v="14"/>
    <x v="1"/>
    <s v="Cinema"/>
    <x v="23"/>
    <x v="0"/>
    <x v="3"/>
  </r>
  <r>
    <x v="15"/>
    <x v="4"/>
    <s v="Casual Wear"/>
    <x v="24"/>
    <x v="0"/>
    <x v="3"/>
  </r>
  <r>
    <x v="16"/>
    <x v="6"/>
    <s v="Car Insurance"/>
    <x v="25"/>
    <x v="0"/>
    <x v="2"/>
  </r>
  <r>
    <x v="17"/>
    <x v="2"/>
    <s v="Pharmacy"/>
    <x v="11"/>
    <x v="0"/>
    <x v="2"/>
  </r>
  <r>
    <x v="17"/>
    <x v="5"/>
    <s v="Electric Bill"/>
    <x v="26"/>
    <x v="0"/>
    <x v="3"/>
  </r>
  <r>
    <x v="18"/>
    <x v="3"/>
    <s v="Online Course"/>
    <x v="27"/>
    <x v="0"/>
    <x v="3"/>
  </r>
  <r>
    <x v="19"/>
    <x v="3"/>
    <s v="Books"/>
    <x v="28"/>
    <x v="0"/>
    <x v="2"/>
  </r>
  <r>
    <x v="20"/>
    <x v="6"/>
    <s v="Health Insurance"/>
    <x v="29"/>
    <x v="0"/>
    <x v="2"/>
  </r>
  <r>
    <x v="20"/>
    <x v="8"/>
    <s v="Bus Ticket"/>
    <x v="7"/>
    <x v="0"/>
    <x v="0"/>
  </r>
  <r>
    <x v="21"/>
    <x v="8"/>
    <s v="Fuel"/>
    <x v="30"/>
    <x v="0"/>
    <x v="0"/>
  </r>
  <r>
    <x v="22"/>
    <x v="7"/>
    <s v="Apartment Rent"/>
    <x v="31"/>
    <x v="0"/>
    <x v="2"/>
  </r>
  <r>
    <x v="22"/>
    <x v="4"/>
    <s v="Shoes"/>
    <x v="32"/>
    <x v="0"/>
    <x v="1"/>
  </r>
  <r>
    <x v="23"/>
    <x v="8"/>
    <s v="Bus Ticket"/>
    <x v="33"/>
    <x v="0"/>
    <x v="0"/>
  </r>
  <r>
    <x v="23"/>
    <x v="3"/>
    <s v="Online Course"/>
    <x v="34"/>
    <x v="0"/>
    <x v="2"/>
  </r>
  <r>
    <x v="24"/>
    <x v="11"/>
    <s v="Supermarket"/>
    <x v="35"/>
    <x v="0"/>
    <x v="3"/>
  </r>
  <r>
    <x v="25"/>
    <x v="9"/>
    <s v="Monthly Pay"/>
    <x v="36"/>
    <x v="1"/>
    <x v="0"/>
  </r>
  <r>
    <x v="25"/>
    <x v="0"/>
    <s v="Restaurant"/>
    <x v="37"/>
    <x v="0"/>
    <x v="3"/>
  </r>
  <r>
    <x v="25"/>
    <x v="1"/>
    <s v="Netflix"/>
    <x v="38"/>
    <x v="0"/>
    <x v="3"/>
  </r>
  <r>
    <x v="26"/>
    <x v="2"/>
    <s v="Doctor Visit"/>
    <x v="39"/>
    <x v="0"/>
    <x v="1"/>
  </r>
  <r>
    <x v="27"/>
    <x v="11"/>
    <s v="Local Market"/>
    <x v="29"/>
    <x v="0"/>
    <x v="1"/>
  </r>
  <r>
    <x v="28"/>
    <x v="5"/>
    <s v="Electric Bill"/>
    <x v="40"/>
    <x v="0"/>
    <x v="2"/>
  </r>
  <r>
    <x v="28"/>
    <x v="0"/>
    <s v="Restaurant"/>
    <x v="41"/>
    <x v="0"/>
    <x v="2"/>
  </r>
  <r>
    <x v="29"/>
    <x v="2"/>
    <s v="Pharmacy"/>
    <x v="7"/>
    <x v="0"/>
    <x v="1"/>
  </r>
  <r>
    <x v="29"/>
    <x v="11"/>
    <s v="Supermarket"/>
    <x v="42"/>
    <x v="0"/>
    <x v="3"/>
  </r>
  <r>
    <x v="30"/>
    <x v="3"/>
    <s v="Books"/>
    <x v="43"/>
    <x v="0"/>
    <x v="1"/>
  </r>
  <r>
    <x v="30"/>
    <x v="6"/>
    <s v="Car Insurance"/>
    <x v="44"/>
    <x v="0"/>
    <x v="0"/>
  </r>
  <r>
    <x v="31"/>
    <x v="2"/>
    <s v="Doctor Visit"/>
    <x v="45"/>
    <x v="0"/>
    <x v="1"/>
  </r>
  <r>
    <x v="32"/>
    <x v="11"/>
    <s v="Supermarket"/>
    <x v="46"/>
    <x v="0"/>
    <x v="0"/>
  </r>
  <r>
    <x v="32"/>
    <x v="2"/>
    <s v="Doctor Visit"/>
    <x v="47"/>
    <x v="0"/>
    <x v="0"/>
  </r>
  <r>
    <x v="33"/>
    <x v="8"/>
    <s v="Ride Share"/>
    <x v="9"/>
    <x v="0"/>
    <x v="0"/>
  </r>
  <r>
    <x v="34"/>
    <x v="6"/>
    <s v="Car Insurance"/>
    <x v="48"/>
    <x v="0"/>
    <x v="2"/>
  </r>
  <r>
    <x v="34"/>
    <x v="0"/>
    <s v="Coffee Shop"/>
    <x v="49"/>
    <x v="0"/>
    <x v="3"/>
  </r>
  <r>
    <x v="35"/>
    <x v="4"/>
    <s v="Shoes"/>
    <x v="50"/>
    <x v="0"/>
    <x v="0"/>
  </r>
  <r>
    <x v="36"/>
    <x v="5"/>
    <s v="Internet Subscription"/>
    <x v="51"/>
    <x v="0"/>
    <x v="1"/>
  </r>
  <r>
    <x v="36"/>
    <x v="3"/>
    <s v="Books"/>
    <x v="52"/>
    <x v="0"/>
    <x v="2"/>
  </r>
  <r>
    <x v="37"/>
    <x v="1"/>
    <s v="Netflix"/>
    <x v="30"/>
    <x v="0"/>
    <x v="0"/>
  </r>
  <r>
    <x v="37"/>
    <x v="6"/>
    <s v="Health Insurance"/>
    <x v="53"/>
    <x v="0"/>
    <x v="0"/>
  </r>
  <r>
    <x v="38"/>
    <x v="5"/>
    <s v="Water Bill"/>
    <x v="54"/>
    <x v="0"/>
    <x v="2"/>
  </r>
  <r>
    <x v="38"/>
    <x v="0"/>
    <s v="Coffee Shop"/>
    <x v="55"/>
    <x v="0"/>
    <x v="2"/>
  </r>
  <r>
    <x v="39"/>
    <x v="0"/>
    <s v="Coffee Shop"/>
    <x v="56"/>
    <x v="0"/>
    <x v="0"/>
  </r>
  <r>
    <x v="39"/>
    <x v="4"/>
    <s v="Shoes"/>
    <x v="57"/>
    <x v="0"/>
    <x v="2"/>
  </r>
  <r>
    <x v="40"/>
    <x v="7"/>
    <s v="Apartment Rent"/>
    <x v="58"/>
    <x v="0"/>
    <x v="3"/>
  </r>
  <r>
    <x v="40"/>
    <x v="5"/>
    <s v="Electric Bill"/>
    <x v="59"/>
    <x v="0"/>
    <x v="1"/>
  </r>
  <r>
    <x v="41"/>
    <x v="1"/>
    <s v="Concert Ticket"/>
    <x v="60"/>
    <x v="0"/>
    <x v="2"/>
  </r>
  <r>
    <x v="42"/>
    <x v="5"/>
    <s v="Water Bill"/>
    <x v="61"/>
    <x v="0"/>
    <x v="3"/>
  </r>
  <r>
    <x v="42"/>
    <x v="2"/>
    <s v="Doctor Visit"/>
    <x v="62"/>
    <x v="0"/>
    <x v="0"/>
  </r>
  <r>
    <x v="43"/>
    <x v="7"/>
    <s v="Apartment Rent"/>
    <x v="63"/>
    <x v="0"/>
    <x v="3"/>
  </r>
  <r>
    <x v="44"/>
    <x v="11"/>
    <s v="Supermarket"/>
    <x v="64"/>
    <x v="0"/>
    <x v="1"/>
  </r>
  <r>
    <x v="45"/>
    <x v="11"/>
    <s v="Local Market"/>
    <x v="65"/>
    <x v="0"/>
    <x v="1"/>
  </r>
  <r>
    <x v="46"/>
    <x v="1"/>
    <s v="Cinema"/>
    <x v="66"/>
    <x v="0"/>
    <x v="1"/>
  </r>
  <r>
    <x v="47"/>
    <x v="9"/>
    <s v="Monthly Pay"/>
    <x v="67"/>
    <x v="1"/>
    <x v="2"/>
  </r>
  <r>
    <x v="47"/>
    <x v="5"/>
    <s v="Electric Bill"/>
    <x v="68"/>
    <x v="0"/>
    <x v="0"/>
  </r>
  <r>
    <x v="48"/>
    <x v="6"/>
    <s v="Health Insurance"/>
    <x v="69"/>
    <x v="0"/>
    <x v="0"/>
  </r>
  <r>
    <x v="48"/>
    <x v="7"/>
    <s v="Apartment Rent"/>
    <x v="70"/>
    <x v="0"/>
    <x v="3"/>
  </r>
  <r>
    <x v="49"/>
    <x v="5"/>
    <s v="Water Bill"/>
    <x v="71"/>
    <x v="0"/>
    <x v="3"/>
  </r>
  <r>
    <x v="49"/>
    <x v="2"/>
    <s v="Pharmacy"/>
    <x v="72"/>
    <x v="0"/>
    <x v="0"/>
  </r>
  <r>
    <x v="50"/>
    <x v="3"/>
    <s v="Online Course"/>
    <x v="73"/>
    <x v="0"/>
    <x v="2"/>
  </r>
  <r>
    <x v="50"/>
    <x v="4"/>
    <s v="Shoes"/>
    <x v="74"/>
    <x v="0"/>
    <x v="1"/>
  </r>
  <r>
    <x v="51"/>
    <x v="6"/>
    <s v="Car Insurance"/>
    <x v="75"/>
    <x v="0"/>
    <x v="3"/>
  </r>
  <r>
    <x v="51"/>
    <x v="4"/>
    <s v="Casual Wear"/>
    <x v="76"/>
    <x v="0"/>
    <x v="1"/>
  </r>
  <r>
    <x v="52"/>
    <x v="8"/>
    <s v="Fuel"/>
    <x v="77"/>
    <x v="0"/>
    <x v="2"/>
  </r>
  <r>
    <x v="53"/>
    <x v="12"/>
    <s v="Consulting Job"/>
    <x v="78"/>
    <x v="1"/>
    <x v="1"/>
  </r>
  <r>
    <x v="53"/>
    <x v="6"/>
    <s v="Health Insurance"/>
    <x v="79"/>
    <x v="0"/>
    <x v="3"/>
  </r>
  <r>
    <x v="54"/>
    <x v="2"/>
    <s v="Pharmacy"/>
    <x v="57"/>
    <x v="0"/>
    <x v="3"/>
  </r>
  <r>
    <x v="55"/>
    <x v="2"/>
    <s v="Doctor Visit"/>
    <x v="80"/>
    <x v="0"/>
    <x v="3"/>
  </r>
  <r>
    <x v="56"/>
    <x v="2"/>
    <s v="Pharmacy"/>
    <x v="81"/>
    <x v="0"/>
    <x v="0"/>
  </r>
  <r>
    <x v="56"/>
    <x v="1"/>
    <s v="Netflix"/>
    <x v="82"/>
    <x v="0"/>
    <x v="2"/>
  </r>
  <r>
    <x v="57"/>
    <x v="1"/>
    <s v="Concert Ticket"/>
    <x v="83"/>
    <x v="0"/>
    <x v="3"/>
  </r>
  <r>
    <x v="57"/>
    <x v="8"/>
    <s v="Bus Ticket"/>
    <x v="84"/>
    <x v="0"/>
    <x v="0"/>
  </r>
  <r>
    <x v="58"/>
    <x v="7"/>
    <s v="Apartment Rent"/>
    <x v="46"/>
    <x v="0"/>
    <x v="3"/>
  </r>
  <r>
    <x v="58"/>
    <x v="5"/>
    <s v="Electric Bill"/>
    <x v="54"/>
    <x v="0"/>
    <x v="0"/>
  </r>
  <r>
    <x v="59"/>
    <x v="6"/>
    <s v="Car Insurance"/>
    <x v="85"/>
    <x v="0"/>
    <x v="3"/>
  </r>
  <r>
    <x v="59"/>
    <x v="1"/>
    <s v="Cinema"/>
    <x v="86"/>
    <x v="0"/>
    <x v="0"/>
  </r>
  <r>
    <x v="60"/>
    <x v="11"/>
    <s v="Local Market"/>
    <x v="87"/>
    <x v="0"/>
    <x v="2"/>
  </r>
  <r>
    <x v="61"/>
    <x v="2"/>
    <s v="Doctor Visit"/>
    <x v="88"/>
    <x v="0"/>
    <x v="1"/>
  </r>
  <r>
    <x v="61"/>
    <x v="1"/>
    <s v="Netflix"/>
    <x v="89"/>
    <x v="0"/>
    <x v="2"/>
  </r>
  <r>
    <x v="62"/>
    <x v="1"/>
    <s v="Cinema"/>
    <x v="47"/>
    <x v="0"/>
    <x v="0"/>
  </r>
  <r>
    <x v="63"/>
    <x v="12"/>
    <s v="Consulting Job"/>
    <x v="90"/>
    <x v="1"/>
    <x v="3"/>
  </r>
  <r>
    <x v="63"/>
    <x v="1"/>
    <s v="Concert Ticket"/>
    <x v="91"/>
    <x v="0"/>
    <x v="3"/>
  </r>
  <r>
    <x v="64"/>
    <x v="3"/>
    <s v="Books"/>
    <x v="92"/>
    <x v="0"/>
    <x v="2"/>
  </r>
  <r>
    <x v="65"/>
    <x v="1"/>
    <s v="Concert Ticket"/>
    <x v="93"/>
    <x v="0"/>
    <x v="3"/>
  </r>
  <r>
    <x v="66"/>
    <x v="7"/>
    <s v="Apartment Rent"/>
    <x v="94"/>
    <x v="0"/>
    <x v="0"/>
  </r>
  <r>
    <x v="66"/>
    <x v="3"/>
    <s v="Books"/>
    <x v="95"/>
    <x v="0"/>
    <x v="3"/>
  </r>
  <r>
    <x v="67"/>
    <x v="1"/>
    <s v="Netflix"/>
    <x v="96"/>
    <x v="0"/>
    <x v="1"/>
  </r>
  <r>
    <x v="67"/>
    <x v="0"/>
    <s v="Coffee Shop"/>
    <x v="97"/>
    <x v="0"/>
    <x v="3"/>
  </r>
  <r>
    <x v="68"/>
    <x v="10"/>
    <s v="Interest Income"/>
    <x v="98"/>
    <x v="1"/>
    <x v="1"/>
  </r>
  <r>
    <x v="68"/>
    <x v="5"/>
    <s v="Electric Bill"/>
    <x v="99"/>
    <x v="0"/>
    <x v="2"/>
  </r>
  <r>
    <x v="68"/>
    <x v="5"/>
    <s v="Internet Subscription"/>
    <x v="40"/>
    <x v="0"/>
    <x v="1"/>
  </r>
  <r>
    <x v="69"/>
    <x v="0"/>
    <s v="Coffee Shop"/>
    <x v="100"/>
    <x v="0"/>
    <x v="1"/>
  </r>
  <r>
    <x v="70"/>
    <x v="7"/>
    <s v="Apartment Rent"/>
    <x v="4"/>
    <x v="0"/>
    <x v="0"/>
  </r>
  <r>
    <x v="70"/>
    <x v="7"/>
    <s v="Apartment Rent"/>
    <x v="11"/>
    <x v="0"/>
    <x v="0"/>
  </r>
  <r>
    <x v="71"/>
    <x v="9"/>
    <s v="Quarterly Bonus"/>
    <x v="101"/>
    <x v="1"/>
    <x v="3"/>
  </r>
  <r>
    <x v="71"/>
    <x v="7"/>
    <s v="Apartment Rent"/>
    <x v="102"/>
    <x v="0"/>
    <x v="2"/>
  </r>
  <r>
    <x v="71"/>
    <x v="6"/>
    <s v="Car Insurance"/>
    <x v="103"/>
    <x v="0"/>
    <x v="2"/>
  </r>
  <r>
    <x v="72"/>
    <x v="0"/>
    <s v="Coffee Shop"/>
    <x v="18"/>
    <x v="0"/>
    <x v="2"/>
  </r>
  <r>
    <x v="73"/>
    <x v="3"/>
    <s v="Online Course"/>
    <x v="104"/>
    <x v="0"/>
    <x v="1"/>
  </r>
  <r>
    <x v="73"/>
    <x v="5"/>
    <s v="Electric Bill"/>
    <x v="66"/>
    <x v="0"/>
    <x v="1"/>
  </r>
  <r>
    <x v="74"/>
    <x v="6"/>
    <s v="Car Insurance"/>
    <x v="105"/>
    <x v="0"/>
    <x v="0"/>
  </r>
  <r>
    <x v="75"/>
    <x v="11"/>
    <s v="Supermarket"/>
    <x v="76"/>
    <x v="0"/>
    <x v="0"/>
  </r>
  <r>
    <x v="76"/>
    <x v="11"/>
    <s v="Supermarket"/>
    <x v="106"/>
    <x v="0"/>
    <x v="1"/>
  </r>
  <r>
    <x v="77"/>
    <x v="5"/>
    <s v="Electric Bill"/>
    <x v="1"/>
    <x v="0"/>
    <x v="1"/>
  </r>
  <r>
    <x v="77"/>
    <x v="4"/>
    <s v="Shoes"/>
    <x v="107"/>
    <x v="0"/>
    <x v="2"/>
  </r>
  <r>
    <x v="78"/>
    <x v="8"/>
    <s v="Ride Share"/>
    <x v="108"/>
    <x v="0"/>
    <x v="1"/>
  </r>
  <r>
    <x v="78"/>
    <x v="1"/>
    <s v="Netflix"/>
    <x v="66"/>
    <x v="0"/>
    <x v="1"/>
  </r>
  <r>
    <x v="79"/>
    <x v="1"/>
    <s v="Netflix"/>
    <x v="109"/>
    <x v="0"/>
    <x v="1"/>
  </r>
  <r>
    <x v="80"/>
    <x v="1"/>
    <s v="Cinema"/>
    <x v="110"/>
    <x v="0"/>
    <x v="0"/>
  </r>
  <r>
    <x v="81"/>
    <x v="1"/>
    <s v="Concert Ticket"/>
    <x v="16"/>
    <x v="0"/>
    <x v="2"/>
  </r>
  <r>
    <x v="81"/>
    <x v="7"/>
    <s v="Apartment Rent"/>
    <x v="111"/>
    <x v="0"/>
    <x v="1"/>
  </r>
  <r>
    <x v="82"/>
    <x v="11"/>
    <s v="Supermarket"/>
    <x v="112"/>
    <x v="0"/>
    <x v="0"/>
  </r>
  <r>
    <x v="82"/>
    <x v="0"/>
    <s v="Coffee Shop"/>
    <x v="113"/>
    <x v="0"/>
    <x v="3"/>
  </r>
  <r>
    <x v="83"/>
    <x v="1"/>
    <s v="Netflix"/>
    <x v="114"/>
    <x v="0"/>
    <x v="3"/>
  </r>
  <r>
    <x v="83"/>
    <x v="5"/>
    <s v="Electric Bill"/>
    <x v="115"/>
    <x v="0"/>
    <x v="3"/>
  </r>
  <r>
    <x v="84"/>
    <x v="6"/>
    <s v="Health Insurance"/>
    <x v="116"/>
    <x v="0"/>
    <x v="1"/>
  </r>
  <r>
    <x v="85"/>
    <x v="5"/>
    <s v="Electric Bill"/>
    <x v="117"/>
    <x v="0"/>
    <x v="3"/>
  </r>
  <r>
    <x v="85"/>
    <x v="6"/>
    <s v="Health Insurance"/>
    <x v="118"/>
    <x v="0"/>
    <x v="3"/>
  </r>
  <r>
    <x v="86"/>
    <x v="5"/>
    <s v="Electric Bill"/>
    <x v="119"/>
    <x v="0"/>
    <x v="3"/>
  </r>
  <r>
    <x v="86"/>
    <x v="3"/>
    <s v="Books"/>
    <x v="120"/>
    <x v="0"/>
    <x v="1"/>
  </r>
  <r>
    <x v="87"/>
    <x v="6"/>
    <s v="Health Insurance"/>
    <x v="121"/>
    <x v="0"/>
    <x v="2"/>
  </r>
  <r>
    <x v="88"/>
    <x v="11"/>
    <s v="Supermarket"/>
    <x v="122"/>
    <x v="0"/>
    <x v="2"/>
  </r>
  <r>
    <x v="89"/>
    <x v="3"/>
    <s v="Books"/>
    <x v="123"/>
    <x v="0"/>
    <x v="1"/>
  </r>
  <r>
    <x v="89"/>
    <x v="1"/>
    <s v="Cinema"/>
    <x v="124"/>
    <x v="0"/>
    <x v="0"/>
  </r>
  <r>
    <x v="90"/>
    <x v="5"/>
    <s v="Internet Subscription"/>
    <x v="77"/>
    <x v="0"/>
    <x v="2"/>
  </r>
  <r>
    <x v="90"/>
    <x v="7"/>
    <s v="Apartment Rent"/>
    <x v="84"/>
    <x v="0"/>
    <x v="2"/>
  </r>
  <r>
    <x v="91"/>
    <x v="11"/>
    <s v="Supermarket"/>
    <x v="81"/>
    <x v="0"/>
    <x v="3"/>
  </r>
  <r>
    <x v="92"/>
    <x v="4"/>
    <s v="Shoes"/>
    <x v="125"/>
    <x v="0"/>
    <x v="3"/>
  </r>
  <r>
    <x v="93"/>
    <x v="2"/>
    <s v="Doctor Visit"/>
    <x v="126"/>
    <x v="0"/>
    <x v="1"/>
  </r>
  <r>
    <x v="93"/>
    <x v="1"/>
    <s v="Cinema"/>
    <x v="34"/>
    <x v="0"/>
    <x v="1"/>
  </r>
  <r>
    <x v="94"/>
    <x v="7"/>
    <s v="Apartment Rent"/>
    <x v="127"/>
    <x v="0"/>
    <x v="1"/>
  </r>
  <r>
    <x v="94"/>
    <x v="1"/>
    <s v="Netflix"/>
    <x v="128"/>
    <x v="0"/>
    <x v="1"/>
  </r>
  <r>
    <x v="95"/>
    <x v="11"/>
    <s v="Supermarket"/>
    <x v="99"/>
    <x v="0"/>
    <x v="2"/>
  </r>
  <r>
    <x v="96"/>
    <x v="5"/>
    <s v="Electric Bill"/>
    <x v="129"/>
    <x v="0"/>
    <x v="3"/>
  </r>
  <r>
    <x v="96"/>
    <x v="5"/>
    <s v="Electric Bill"/>
    <x v="130"/>
    <x v="0"/>
    <x v="2"/>
  </r>
  <r>
    <x v="97"/>
    <x v="7"/>
    <s v="Apartment Rent"/>
    <x v="131"/>
    <x v="0"/>
    <x v="2"/>
  </r>
  <r>
    <x v="97"/>
    <x v="1"/>
    <s v="Concert Ticket"/>
    <x v="132"/>
    <x v="0"/>
    <x v="3"/>
  </r>
  <r>
    <x v="98"/>
    <x v="11"/>
    <s v="Supermarket"/>
    <x v="133"/>
    <x v="0"/>
    <x v="3"/>
  </r>
  <r>
    <x v="98"/>
    <x v="4"/>
    <s v="Casual Wear"/>
    <x v="134"/>
    <x v="0"/>
    <x v="0"/>
  </r>
  <r>
    <x v="99"/>
    <x v="7"/>
    <s v="Apartment Rent"/>
    <x v="135"/>
    <x v="0"/>
    <x v="0"/>
  </r>
  <r>
    <x v="100"/>
    <x v="6"/>
    <s v="Car Insurance"/>
    <x v="120"/>
    <x v="0"/>
    <x v="2"/>
  </r>
  <r>
    <x v="101"/>
    <x v="2"/>
    <s v="Pharmacy"/>
    <x v="136"/>
    <x v="0"/>
    <x v="0"/>
  </r>
  <r>
    <x v="102"/>
    <x v="3"/>
    <s v="Books"/>
    <x v="137"/>
    <x v="0"/>
    <x v="2"/>
  </r>
  <r>
    <x v="103"/>
    <x v="11"/>
    <s v="Supermarket"/>
    <x v="123"/>
    <x v="0"/>
    <x v="2"/>
  </r>
  <r>
    <x v="104"/>
    <x v="11"/>
    <s v="Local Market"/>
    <x v="138"/>
    <x v="0"/>
    <x v="3"/>
  </r>
  <r>
    <x v="105"/>
    <x v="6"/>
    <s v="Car Insurance"/>
    <x v="93"/>
    <x v="0"/>
    <x v="3"/>
  </r>
  <r>
    <x v="105"/>
    <x v="2"/>
    <s v="Doctor Visit"/>
    <x v="139"/>
    <x v="0"/>
    <x v="0"/>
  </r>
  <r>
    <x v="106"/>
    <x v="2"/>
    <s v="Doctor Visit"/>
    <x v="140"/>
    <x v="0"/>
    <x v="3"/>
  </r>
  <r>
    <x v="107"/>
    <x v="11"/>
    <s v="Local Market"/>
    <x v="27"/>
    <x v="0"/>
    <x v="0"/>
  </r>
  <r>
    <x v="108"/>
    <x v="1"/>
    <s v="Cinema"/>
    <x v="141"/>
    <x v="0"/>
    <x v="0"/>
  </r>
  <r>
    <x v="109"/>
    <x v="7"/>
    <s v="Apartment Rent"/>
    <x v="142"/>
    <x v="0"/>
    <x v="3"/>
  </r>
  <r>
    <x v="109"/>
    <x v="7"/>
    <s v="Apartment Rent"/>
    <x v="143"/>
    <x v="0"/>
    <x v="3"/>
  </r>
  <r>
    <x v="110"/>
    <x v="7"/>
    <s v="Apartment Rent"/>
    <x v="144"/>
    <x v="0"/>
    <x v="2"/>
  </r>
  <r>
    <x v="111"/>
    <x v="6"/>
    <s v="Car Insurance"/>
    <x v="145"/>
    <x v="0"/>
    <x v="2"/>
  </r>
  <r>
    <x v="111"/>
    <x v="1"/>
    <s v="Netflix"/>
    <x v="8"/>
    <x v="0"/>
    <x v="3"/>
  </r>
  <r>
    <x v="112"/>
    <x v="11"/>
    <s v="Local Market"/>
    <x v="10"/>
    <x v="0"/>
    <x v="1"/>
  </r>
  <r>
    <x v="112"/>
    <x v="1"/>
    <s v="Cinema"/>
    <x v="146"/>
    <x v="0"/>
    <x v="2"/>
  </r>
  <r>
    <x v="113"/>
    <x v="5"/>
    <s v="Internet Subscription"/>
    <x v="147"/>
    <x v="0"/>
    <x v="0"/>
  </r>
  <r>
    <x v="113"/>
    <x v="6"/>
    <s v="Car Insurance"/>
    <x v="148"/>
    <x v="0"/>
    <x v="0"/>
  </r>
  <r>
    <x v="114"/>
    <x v="8"/>
    <s v="Fuel"/>
    <x v="60"/>
    <x v="0"/>
    <x v="1"/>
  </r>
  <r>
    <x v="114"/>
    <x v="5"/>
    <s v="Internet Subscription"/>
    <x v="149"/>
    <x v="0"/>
    <x v="1"/>
  </r>
  <r>
    <x v="115"/>
    <x v="5"/>
    <s v="Internet Subscription"/>
    <x v="63"/>
    <x v="0"/>
    <x v="2"/>
  </r>
  <r>
    <x v="115"/>
    <x v="7"/>
    <s v="Apartment Rent"/>
    <x v="79"/>
    <x v="0"/>
    <x v="3"/>
  </r>
  <r>
    <x v="116"/>
    <x v="2"/>
    <s v="Pharmacy"/>
    <x v="150"/>
    <x v="0"/>
    <x v="2"/>
  </r>
  <r>
    <x v="117"/>
    <x v="7"/>
    <s v="Apartment Rent"/>
    <x v="151"/>
    <x v="0"/>
    <x v="3"/>
  </r>
  <r>
    <x v="117"/>
    <x v="3"/>
    <s v="Online Course"/>
    <x v="152"/>
    <x v="0"/>
    <x v="2"/>
  </r>
  <r>
    <x v="118"/>
    <x v="4"/>
    <s v="Casual Wear"/>
    <x v="111"/>
    <x v="0"/>
    <x v="1"/>
  </r>
  <r>
    <x v="119"/>
    <x v="11"/>
    <s v="Local Market"/>
    <x v="153"/>
    <x v="0"/>
    <x v="2"/>
  </r>
  <r>
    <x v="120"/>
    <x v="8"/>
    <s v="Ride Share"/>
    <x v="130"/>
    <x v="0"/>
    <x v="0"/>
  </r>
  <r>
    <x v="121"/>
    <x v="3"/>
    <s v="Books"/>
    <x v="154"/>
    <x v="0"/>
    <x v="3"/>
  </r>
  <r>
    <x v="121"/>
    <x v="0"/>
    <s v="Coffee Shop"/>
    <x v="62"/>
    <x v="0"/>
    <x v="3"/>
  </r>
  <r>
    <x v="122"/>
    <x v="10"/>
    <s v="Dividend"/>
    <x v="155"/>
    <x v="1"/>
    <x v="0"/>
  </r>
  <r>
    <x v="122"/>
    <x v="7"/>
    <s v="Apartment Rent"/>
    <x v="142"/>
    <x v="0"/>
    <x v="0"/>
  </r>
  <r>
    <x v="123"/>
    <x v="4"/>
    <s v="Shoes"/>
    <x v="7"/>
    <x v="0"/>
    <x v="1"/>
  </r>
  <r>
    <x v="123"/>
    <x v="3"/>
    <s v="Online Course"/>
    <x v="156"/>
    <x v="0"/>
    <x v="2"/>
  </r>
  <r>
    <x v="124"/>
    <x v="4"/>
    <s v="Shoes"/>
    <x v="76"/>
    <x v="0"/>
    <x v="1"/>
  </r>
  <r>
    <x v="124"/>
    <x v="4"/>
    <s v="Casual Wear"/>
    <x v="157"/>
    <x v="0"/>
    <x v="0"/>
  </r>
  <r>
    <x v="125"/>
    <x v="8"/>
    <s v="Ride Share"/>
    <x v="158"/>
    <x v="0"/>
    <x v="3"/>
  </r>
  <r>
    <x v="125"/>
    <x v="0"/>
    <s v="Coffee Shop"/>
    <x v="159"/>
    <x v="0"/>
    <x v="1"/>
  </r>
  <r>
    <x v="126"/>
    <x v="1"/>
    <s v="Cinema"/>
    <x v="94"/>
    <x v="0"/>
    <x v="3"/>
  </r>
  <r>
    <x v="127"/>
    <x v="0"/>
    <s v="Restaurant"/>
    <x v="62"/>
    <x v="0"/>
    <x v="3"/>
  </r>
  <r>
    <x v="128"/>
    <x v="1"/>
    <s v="Cinema"/>
    <x v="63"/>
    <x v="0"/>
    <x v="3"/>
  </r>
  <r>
    <x v="129"/>
    <x v="8"/>
    <s v="Bus Ticket"/>
    <x v="160"/>
    <x v="0"/>
    <x v="3"/>
  </r>
  <r>
    <x v="129"/>
    <x v="0"/>
    <s v="Restaurant"/>
    <x v="37"/>
    <x v="0"/>
    <x v="0"/>
  </r>
  <r>
    <x v="130"/>
    <x v="10"/>
    <s v="Interest Income"/>
    <x v="161"/>
    <x v="1"/>
    <x v="1"/>
  </r>
  <r>
    <x v="130"/>
    <x v="2"/>
    <s v="Doctor Visit"/>
    <x v="162"/>
    <x v="0"/>
    <x v="1"/>
  </r>
  <r>
    <x v="130"/>
    <x v="8"/>
    <s v="Ride Share"/>
    <x v="32"/>
    <x v="0"/>
    <x v="3"/>
  </r>
  <r>
    <x v="131"/>
    <x v="2"/>
    <s v="Pharmacy"/>
    <x v="106"/>
    <x v="0"/>
    <x v="2"/>
  </r>
  <r>
    <x v="131"/>
    <x v="7"/>
    <s v="Apartment Rent"/>
    <x v="163"/>
    <x v="0"/>
    <x v="0"/>
  </r>
  <r>
    <x v="132"/>
    <x v="1"/>
    <s v="Cinema"/>
    <x v="164"/>
    <x v="0"/>
    <x v="3"/>
  </r>
  <r>
    <x v="133"/>
    <x v="11"/>
    <s v="Local Market"/>
    <x v="165"/>
    <x v="0"/>
    <x v="1"/>
  </r>
  <r>
    <x v="133"/>
    <x v="11"/>
    <s v="Local Market"/>
    <x v="166"/>
    <x v="0"/>
    <x v="1"/>
  </r>
  <r>
    <x v="134"/>
    <x v="8"/>
    <s v="Fuel"/>
    <x v="167"/>
    <x v="0"/>
    <x v="0"/>
  </r>
  <r>
    <x v="134"/>
    <x v="11"/>
    <s v="Local Market"/>
    <x v="168"/>
    <x v="0"/>
    <x v="1"/>
  </r>
  <r>
    <x v="135"/>
    <x v="3"/>
    <s v="Books"/>
    <x v="169"/>
    <x v="0"/>
    <x v="2"/>
  </r>
  <r>
    <x v="136"/>
    <x v="11"/>
    <s v="Supermarket"/>
    <x v="40"/>
    <x v="0"/>
    <x v="2"/>
  </r>
  <r>
    <x v="136"/>
    <x v="11"/>
    <s v="Supermarket"/>
    <x v="170"/>
    <x v="0"/>
    <x v="0"/>
  </r>
  <r>
    <x v="137"/>
    <x v="5"/>
    <s v="Water Bill"/>
    <x v="148"/>
    <x v="0"/>
    <x v="2"/>
  </r>
  <r>
    <x v="138"/>
    <x v="7"/>
    <s v="Apartment Rent"/>
    <x v="171"/>
    <x v="0"/>
    <x v="2"/>
  </r>
  <r>
    <x v="138"/>
    <x v="0"/>
    <s v="Restaurant"/>
    <x v="37"/>
    <x v="0"/>
    <x v="3"/>
  </r>
  <r>
    <x v="139"/>
    <x v="11"/>
    <s v="Local Market"/>
    <x v="172"/>
    <x v="0"/>
    <x v="3"/>
  </r>
  <r>
    <x v="140"/>
    <x v="9"/>
    <s v="Quarterly Bonus"/>
    <x v="173"/>
    <x v="1"/>
    <x v="2"/>
  </r>
  <r>
    <x v="140"/>
    <x v="5"/>
    <s v="Electric Bill"/>
    <x v="114"/>
    <x v="0"/>
    <x v="2"/>
  </r>
  <r>
    <x v="140"/>
    <x v="5"/>
    <s v="Internet Subscription"/>
    <x v="174"/>
    <x v="0"/>
    <x v="3"/>
  </r>
  <r>
    <x v="141"/>
    <x v="3"/>
    <s v="Online Course"/>
    <x v="175"/>
    <x v="0"/>
    <x v="1"/>
  </r>
  <r>
    <x v="142"/>
    <x v="5"/>
    <s v="Electric Bill"/>
    <x v="176"/>
    <x v="0"/>
    <x v="2"/>
  </r>
  <r>
    <x v="142"/>
    <x v="6"/>
    <s v="Health Insurance"/>
    <x v="177"/>
    <x v="0"/>
    <x v="2"/>
  </r>
  <r>
    <x v="143"/>
    <x v="6"/>
    <s v="Car Insurance"/>
    <x v="178"/>
    <x v="0"/>
    <x v="2"/>
  </r>
  <r>
    <x v="144"/>
    <x v="6"/>
    <s v="Health Insurance"/>
    <x v="43"/>
    <x v="0"/>
    <x v="3"/>
  </r>
  <r>
    <x v="145"/>
    <x v="0"/>
    <s v="Coffee Shop"/>
    <x v="179"/>
    <x v="0"/>
    <x v="1"/>
  </r>
  <r>
    <x v="146"/>
    <x v="11"/>
    <s v="Local Market"/>
    <x v="180"/>
    <x v="0"/>
    <x v="0"/>
  </r>
  <r>
    <x v="147"/>
    <x v="2"/>
    <s v="Pharmacy"/>
    <x v="181"/>
    <x v="0"/>
    <x v="2"/>
  </r>
  <r>
    <x v="148"/>
    <x v="11"/>
    <s v="Local Market"/>
    <x v="83"/>
    <x v="0"/>
    <x v="3"/>
  </r>
  <r>
    <x v="149"/>
    <x v="3"/>
    <s v="Online Course"/>
    <x v="182"/>
    <x v="0"/>
    <x v="3"/>
  </r>
  <r>
    <x v="150"/>
    <x v="8"/>
    <s v="Fuel"/>
    <x v="25"/>
    <x v="0"/>
    <x v="1"/>
  </r>
  <r>
    <x v="151"/>
    <x v="0"/>
    <s v="Restaurant"/>
    <x v="183"/>
    <x v="0"/>
    <x v="0"/>
  </r>
  <r>
    <x v="152"/>
    <x v="7"/>
    <s v="Apartment Rent"/>
    <x v="152"/>
    <x v="0"/>
    <x v="0"/>
  </r>
  <r>
    <x v="153"/>
    <x v="8"/>
    <s v="Bus Ticket"/>
    <x v="184"/>
    <x v="0"/>
    <x v="0"/>
  </r>
  <r>
    <x v="153"/>
    <x v="1"/>
    <s v="Concert Ticket"/>
    <x v="56"/>
    <x v="0"/>
    <x v="3"/>
  </r>
  <r>
    <x v="154"/>
    <x v="0"/>
    <s v="Restaurant"/>
    <x v="130"/>
    <x v="0"/>
    <x v="3"/>
  </r>
  <r>
    <x v="154"/>
    <x v="3"/>
    <s v="Online Course"/>
    <x v="73"/>
    <x v="0"/>
    <x v="3"/>
  </r>
  <r>
    <x v="155"/>
    <x v="0"/>
    <s v="Coffee Shop"/>
    <x v="185"/>
    <x v="0"/>
    <x v="1"/>
  </r>
  <r>
    <x v="156"/>
    <x v="8"/>
    <s v="Fuel"/>
    <x v="186"/>
    <x v="0"/>
    <x v="2"/>
  </r>
  <r>
    <x v="156"/>
    <x v="0"/>
    <s v="Restaurant"/>
    <x v="13"/>
    <x v="0"/>
    <x v="2"/>
  </r>
  <r>
    <x v="157"/>
    <x v="4"/>
    <s v="Casual Wear"/>
    <x v="145"/>
    <x v="0"/>
    <x v="2"/>
  </r>
  <r>
    <x v="157"/>
    <x v="0"/>
    <s v="Restaurant"/>
    <x v="187"/>
    <x v="0"/>
    <x v="0"/>
  </r>
  <r>
    <x v="158"/>
    <x v="1"/>
    <s v="Netflix"/>
    <x v="9"/>
    <x v="0"/>
    <x v="3"/>
  </r>
  <r>
    <x v="158"/>
    <x v="8"/>
    <s v="Bus Ticket"/>
    <x v="154"/>
    <x v="0"/>
    <x v="2"/>
  </r>
  <r>
    <x v="159"/>
    <x v="6"/>
    <s v="Health Insurance"/>
    <x v="188"/>
    <x v="0"/>
    <x v="0"/>
  </r>
  <r>
    <x v="159"/>
    <x v="1"/>
    <s v="Concert Ticket"/>
    <x v="104"/>
    <x v="0"/>
    <x v="2"/>
  </r>
  <r>
    <x v="160"/>
    <x v="4"/>
    <s v="Shoes"/>
    <x v="189"/>
    <x v="0"/>
    <x v="2"/>
  </r>
  <r>
    <x v="160"/>
    <x v="5"/>
    <s v="Internet Subscription"/>
    <x v="6"/>
    <x v="0"/>
    <x v="2"/>
  </r>
  <r>
    <x v="161"/>
    <x v="7"/>
    <s v="Apartment Rent"/>
    <x v="190"/>
    <x v="0"/>
    <x v="3"/>
  </r>
  <r>
    <x v="161"/>
    <x v="7"/>
    <s v="Apartment Rent"/>
    <x v="191"/>
    <x v="0"/>
    <x v="2"/>
  </r>
  <r>
    <x v="162"/>
    <x v="5"/>
    <s v="Water Bill"/>
    <x v="105"/>
    <x v="0"/>
    <x v="2"/>
  </r>
  <r>
    <x v="163"/>
    <x v="1"/>
    <s v="Netflix"/>
    <x v="192"/>
    <x v="0"/>
    <x v="2"/>
  </r>
  <r>
    <x v="163"/>
    <x v="2"/>
    <s v="Doctor Visit"/>
    <x v="193"/>
    <x v="0"/>
    <x v="3"/>
  </r>
  <r>
    <x v="164"/>
    <x v="11"/>
    <s v="Local Market"/>
    <x v="194"/>
    <x v="0"/>
    <x v="2"/>
  </r>
  <r>
    <x v="165"/>
    <x v="0"/>
    <s v="Restaurant"/>
    <x v="195"/>
    <x v="0"/>
    <x v="2"/>
  </r>
  <r>
    <x v="165"/>
    <x v="6"/>
    <s v="Health Insurance"/>
    <x v="196"/>
    <x v="0"/>
    <x v="1"/>
  </r>
  <r>
    <x v="166"/>
    <x v="11"/>
    <s v="Supermarket"/>
    <x v="197"/>
    <x v="0"/>
    <x v="3"/>
  </r>
  <r>
    <x v="166"/>
    <x v="0"/>
    <s v="Restaurant"/>
    <x v="198"/>
    <x v="0"/>
    <x v="2"/>
  </r>
  <r>
    <x v="167"/>
    <x v="7"/>
    <s v="Apartment Rent"/>
    <x v="58"/>
    <x v="0"/>
    <x v="3"/>
  </r>
  <r>
    <x v="168"/>
    <x v="2"/>
    <s v="Pharmacy"/>
    <x v="199"/>
    <x v="0"/>
    <x v="1"/>
  </r>
  <r>
    <x v="168"/>
    <x v="11"/>
    <s v="Local Market"/>
    <x v="200"/>
    <x v="0"/>
    <x v="0"/>
  </r>
  <r>
    <x v="169"/>
    <x v="3"/>
    <s v="Books"/>
    <x v="201"/>
    <x v="0"/>
    <x v="3"/>
  </r>
  <r>
    <x v="169"/>
    <x v="7"/>
    <s v="Apartment Rent"/>
    <x v="28"/>
    <x v="0"/>
    <x v="2"/>
  </r>
  <r>
    <x v="170"/>
    <x v="12"/>
    <s v="Freelance Design"/>
    <x v="202"/>
    <x v="1"/>
    <x v="1"/>
  </r>
  <r>
    <x v="170"/>
    <x v="4"/>
    <s v="Shoes"/>
    <x v="203"/>
    <x v="0"/>
    <x v="1"/>
  </r>
  <r>
    <x v="171"/>
    <x v="0"/>
    <s v="Coffee Shop"/>
    <x v="147"/>
    <x v="0"/>
    <x v="0"/>
  </r>
  <r>
    <x v="172"/>
    <x v="11"/>
    <s v="Local Market"/>
    <x v="204"/>
    <x v="0"/>
    <x v="1"/>
  </r>
  <r>
    <x v="173"/>
    <x v="0"/>
    <s v="Coffee Shop"/>
    <x v="138"/>
    <x v="0"/>
    <x v="1"/>
  </r>
  <r>
    <x v="173"/>
    <x v="8"/>
    <s v="Fuel"/>
    <x v="205"/>
    <x v="0"/>
    <x v="2"/>
  </r>
  <r>
    <x v="174"/>
    <x v="7"/>
    <s v="Apartment Rent"/>
    <x v="206"/>
    <x v="0"/>
    <x v="3"/>
  </r>
  <r>
    <x v="175"/>
    <x v="1"/>
    <s v="Concert Ticket"/>
    <x v="207"/>
    <x v="0"/>
    <x v="2"/>
  </r>
  <r>
    <x v="176"/>
    <x v="7"/>
    <s v="Apartment Rent"/>
    <x v="12"/>
    <x v="0"/>
    <x v="2"/>
  </r>
  <r>
    <x v="177"/>
    <x v="3"/>
    <s v="Online Course"/>
    <x v="169"/>
    <x v="0"/>
    <x v="0"/>
  </r>
  <r>
    <x v="177"/>
    <x v="6"/>
    <s v="Health Insurance"/>
    <x v="208"/>
    <x v="0"/>
    <x v="1"/>
  </r>
  <r>
    <x v="178"/>
    <x v="4"/>
    <s v="Casual Wear"/>
    <x v="209"/>
    <x v="0"/>
    <x v="1"/>
  </r>
  <r>
    <x v="178"/>
    <x v="5"/>
    <s v="Water Bill"/>
    <x v="210"/>
    <x v="0"/>
    <x v="1"/>
  </r>
  <r>
    <x v="179"/>
    <x v="0"/>
    <s v="Restaurant"/>
    <x v="211"/>
    <x v="0"/>
    <x v="0"/>
  </r>
  <r>
    <x v="179"/>
    <x v="11"/>
    <s v="Local Market"/>
    <x v="102"/>
    <x v="0"/>
    <x v="2"/>
  </r>
  <r>
    <x v="180"/>
    <x v="7"/>
    <s v="Apartment Rent"/>
    <x v="212"/>
    <x v="0"/>
    <x v="2"/>
  </r>
  <r>
    <x v="180"/>
    <x v="6"/>
    <s v="Health Insurance"/>
    <x v="74"/>
    <x v="0"/>
    <x v="3"/>
  </r>
  <r>
    <x v="181"/>
    <x v="3"/>
    <s v="Books"/>
    <x v="213"/>
    <x v="0"/>
    <x v="2"/>
  </r>
  <r>
    <x v="181"/>
    <x v="7"/>
    <s v="Apartment Rent"/>
    <x v="16"/>
    <x v="0"/>
    <x v="2"/>
  </r>
  <r>
    <x v="182"/>
    <x v="12"/>
    <s v="Consulting Job"/>
    <x v="214"/>
    <x v="1"/>
    <x v="1"/>
  </r>
  <r>
    <x v="182"/>
    <x v="2"/>
    <s v="Doctor Visit"/>
    <x v="65"/>
    <x v="0"/>
    <x v="2"/>
  </r>
  <r>
    <x v="183"/>
    <x v="6"/>
    <s v="Health Insurance"/>
    <x v="215"/>
    <x v="0"/>
    <x v="3"/>
  </r>
  <r>
    <x v="183"/>
    <x v="1"/>
    <s v="Concert Ticket"/>
    <x v="216"/>
    <x v="0"/>
    <x v="0"/>
  </r>
  <r>
    <x v="184"/>
    <x v="7"/>
    <s v="Apartment Rent"/>
    <x v="24"/>
    <x v="0"/>
    <x v="2"/>
  </r>
  <r>
    <x v="184"/>
    <x v="4"/>
    <s v="Shoes"/>
    <x v="217"/>
    <x v="0"/>
    <x v="3"/>
  </r>
  <r>
    <x v="185"/>
    <x v="1"/>
    <s v="Cinema"/>
    <x v="87"/>
    <x v="0"/>
    <x v="3"/>
  </r>
  <r>
    <x v="185"/>
    <x v="7"/>
    <s v="Apartment Rent"/>
    <x v="218"/>
    <x v="0"/>
    <x v="0"/>
  </r>
  <r>
    <x v="186"/>
    <x v="8"/>
    <s v="Ride Share"/>
    <x v="219"/>
    <x v="0"/>
    <x v="2"/>
  </r>
  <r>
    <x v="187"/>
    <x v="8"/>
    <s v="Fuel"/>
    <x v="41"/>
    <x v="0"/>
    <x v="0"/>
  </r>
  <r>
    <x v="187"/>
    <x v="0"/>
    <s v="Restaurant"/>
    <x v="218"/>
    <x v="0"/>
    <x v="3"/>
  </r>
  <r>
    <x v="188"/>
    <x v="2"/>
    <s v="Doctor Visit"/>
    <x v="220"/>
    <x v="0"/>
    <x v="1"/>
  </r>
  <r>
    <x v="188"/>
    <x v="11"/>
    <s v="Local Market"/>
    <x v="221"/>
    <x v="0"/>
    <x v="0"/>
  </r>
  <r>
    <x v="189"/>
    <x v="8"/>
    <s v="Ride Share"/>
    <x v="222"/>
    <x v="0"/>
    <x v="3"/>
  </r>
  <r>
    <x v="190"/>
    <x v="7"/>
    <s v="Apartment Rent"/>
    <x v="223"/>
    <x v="0"/>
    <x v="3"/>
  </r>
  <r>
    <x v="191"/>
    <x v="4"/>
    <s v="Casual Wear"/>
    <x v="65"/>
    <x v="0"/>
    <x v="2"/>
  </r>
  <r>
    <x v="192"/>
    <x v="0"/>
    <s v="Coffee Shop"/>
    <x v="224"/>
    <x v="0"/>
    <x v="0"/>
  </r>
  <r>
    <x v="193"/>
    <x v="12"/>
    <s v="Freelance Design"/>
    <x v="225"/>
    <x v="1"/>
    <x v="1"/>
  </r>
  <r>
    <x v="193"/>
    <x v="2"/>
    <s v="Doctor Visit"/>
    <x v="125"/>
    <x v="0"/>
    <x v="0"/>
  </r>
  <r>
    <x v="194"/>
    <x v="11"/>
    <s v="Supermarket"/>
    <x v="65"/>
    <x v="0"/>
    <x v="3"/>
  </r>
  <r>
    <x v="195"/>
    <x v="0"/>
    <s v="Restaurant"/>
    <x v="82"/>
    <x v="0"/>
    <x v="0"/>
  </r>
  <r>
    <x v="196"/>
    <x v="1"/>
    <s v="Cinema"/>
    <x v="226"/>
    <x v="0"/>
    <x v="3"/>
  </r>
  <r>
    <x v="197"/>
    <x v="4"/>
    <s v="Casual Wear"/>
    <x v="177"/>
    <x v="0"/>
    <x v="0"/>
  </r>
  <r>
    <x v="197"/>
    <x v="3"/>
    <s v="Online Course"/>
    <x v="62"/>
    <x v="0"/>
    <x v="3"/>
  </r>
  <r>
    <x v="198"/>
    <x v="12"/>
    <s v="Consulting Job"/>
    <x v="227"/>
    <x v="1"/>
    <x v="2"/>
  </r>
  <r>
    <x v="198"/>
    <x v="3"/>
    <s v="Online Course"/>
    <x v="228"/>
    <x v="0"/>
    <x v="3"/>
  </r>
  <r>
    <x v="199"/>
    <x v="1"/>
    <s v="Concert Ticket"/>
    <x v="37"/>
    <x v="0"/>
    <x v="0"/>
  </r>
  <r>
    <x v="200"/>
    <x v="6"/>
    <s v="Health Insurance"/>
    <x v="229"/>
    <x v="0"/>
    <x v="0"/>
  </r>
  <r>
    <x v="200"/>
    <x v="8"/>
    <s v="Ride Share"/>
    <x v="230"/>
    <x v="0"/>
    <x v="3"/>
  </r>
  <r>
    <x v="201"/>
    <x v="11"/>
    <s v="Local Market"/>
    <x v="231"/>
    <x v="0"/>
    <x v="1"/>
  </r>
  <r>
    <x v="202"/>
    <x v="7"/>
    <s v="Apartment Rent"/>
    <x v="232"/>
    <x v="0"/>
    <x v="2"/>
  </r>
  <r>
    <x v="202"/>
    <x v="0"/>
    <s v="Coffee Shop"/>
    <x v="233"/>
    <x v="0"/>
    <x v="0"/>
  </r>
  <r>
    <x v="203"/>
    <x v="10"/>
    <s v="Interest Income"/>
    <x v="234"/>
    <x v="1"/>
    <x v="1"/>
  </r>
  <r>
    <x v="203"/>
    <x v="2"/>
    <s v="Pharmacy"/>
    <x v="235"/>
    <x v="0"/>
    <x v="3"/>
  </r>
  <r>
    <x v="204"/>
    <x v="3"/>
    <s v="Books"/>
    <x v="236"/>
    <x v="0"/>
    <x v="3"/>
  </r>
  <r>
    <x v="205"/>
    <x v="12"/>
    <s v="Consulting Job"/>
    <x v="237"/>
    <x v="1"/>
    <x v="0"/>
  </r>
  <r>
    <x v="205"/>
    <x v="7"/>
    <s v="Apartment Rent"/>
    <x v="238"/>
    <x v="0"/>
    <x v="1"/>
  </r>
  <r>
    <x v="206"/>
    <x v="8"/>
    <s v="Fuel"/>
    <x v="33"/>
    <x v="0"/>
    <x v="2"/>
  </r>
  <r>
    <x v="207"/>
    <x v="4"/>
    <s v="Casual Wear"/>
    <x v="239"/>
    <x v="0"/>
    <x v="1"/>
  </r>
  <r>
    <x v="208"/>
    <x v="4"/>
    <s v="Shoes"/>
    <x v="240"/>
    <x v="0"/>
    <x v="1"/>
  </r>
  <r>
    <x v="208"/>
    <x v="1"/>
    <s v="Netflix"/>
    <x v="180"/>
    <x v="0"/>
    <x v="2"/>
  </r>
  <r>
    <x v="209"/>
    <x v="0"/>
    <s v="Coffee Shop"/>
    <x v="241"/>
    <x v="0"/>
    <x v="3"/>
  </r>
  <r>
    <x v="209"/>
    <x v="1"/>
    <s v="Netflix"/>
    <x v="92"/>
    <x v="0"/>
    <x v="2"/>
  </r>
  <r>
    <x v="210"/>
    <x v="4"/>
    <s v="Shoes"/>
    <x v="242"/>
    <x v="0"/>
    <x v="2"/>
  </r>
  <r>
    <x v="211"/>
    <x v="3"/>
    <s v="Online Course"/>
    <x v="243"/>
    <x v="0"/>
    <x v="2"/>
  </r>
  <r>
    <x v="211"/>
    <x v="2"/>
    <s v="Pharmacy"/>
    <x v="239"/>
    <x v="0"/>
    <x v="0"/>
  </r>
  <r>
    <x v="212"/>
    <x v="7"/>
    <s v="Apartment Rent"/>
    <x v="57"/>
    <x v="0"/>
    <x v="0"/>
  </r>
  <r>
    <x v="213"/>
    <x v="0"/>
    <s v="Coffee Shop"/>
    <x v="47"/>
    <x v="0"/>
    <x v="0"/>
  </r>
  <r>
    <x v="214"/>
    <x v="3"/>
    <s v="Online Course"/>
    <x v="244"/>
    <x v="0"/>
    <x v="2"/>
  </r>
  <r>
    <x v="215"/>
    <x v="3"/>
    <s v="Online Course"/>
    <x v="186"/>
    <x v="0"/>
    <x v="3"/>
  </r>
  <r>
    <x v="216"/>
    <x v="6"/>
    <s v="Health Insurance"/>
    <x v="245"/>
    <x v="0"/>
    <x v="0"/>
  </r>
  <r>
    <x v="216"/>
    <x v="8"/>
    <s v="Bus Ticket"/>
    <x v="246"/>
    <x v="0"/>
    <x v="2"/>
  </r>
  <r>
    <x v="217"/>
    <x v="7"/>
    <s v="Apartment Rent"/>
    <x v="143"/>
    <x v="0"/>
    <x v="3"/>
  </r>
  <r>
    <x v="218"/>
    <x v="5"/>
    <s v="Water Bill"/>
    <x v="247"/>
    <x v="0"/>
    <x v="1"/>
  </r>
  <r>
    <x v="219"/>
    <x v="4"/>
    <s v="Casual Wear"/>
    <x v="248"/>
    <x v="0"/>
    <x v="2"/>
  </r>
  <r>
    <x v="220"/>
    <x v="0"/>
    <s v="Restaurant"/>
    <x v="249"/>
    <x v="0"/>
    <x v="1"/>
  </r>
  <r>
    <x v="221"/>
    <x v="4"/>
    <s v="Casual Wear"/>
    <x v="250"/>
    <x v="0"/>
    <x v="3"/>
  </r>
  <r>
    <x v="222"/>
    <x v="4"/>
    <s v="Shoes"/>
    <x v="251"/>
    <x v="0"/>
    <x v="0"/>
  </r>
  <r>
    <x v="222"/>
    <x v="7"/>
    <s v="Apartment Rent"/>
    <x v="252"/>
    <x v="0"/>
    <x v="1"/>
  </r>
  <r>
    <x v="223"/>
    <x v="1"/>
    <s v="Cinema"/>
    <x v="175"/>
    <x v="0"/>
    <x v="3"/>
  </r>
  <r>
    <x v="223"/>
    <x v="1"/>
    <s v="Netflix"/>
    <x v="253"/>
    <x v="0"/>
    <x v="2"/>
  </r>
  <r>
    <x v="224"/>
    <x v="0"/>
    <s v="Restaurant"/>
    <x v="254"/>
    <x v="0"/>
    <x v="3"/>
  </r>
  <r>
    <x v="224"/>
    <x v="5"/>
    <s v="Water Bill"/>
    <x v="203"/>
    <x v="0"/>
    <x v="1"/>
  </r>
  <r>
    <x v="225"/>
    <x v="11"/>
    <s v="Local Market"/>
    <x v="25"/>
    <x v="0"/>
    <x v="0"/>
  </r>
  <r>
    <x v="225"/>
    <x v="0"/>
    <s v="Coffee Shop"/>
    <x v="255"/>
    <x v="0"/>
    <x v="0"/>
  </r>
  <r>
    <x v="226"/>
    <x v="4"/>
    <s v="Shoes"/>
    <x v="31"/>
    <x v="0"/>
    <x v="1"/>
  </r>
  <r>
    <x v="227"/>
    <x v="6"/>
    <s v="Health Insurance"/>
    <x v="256"/>
    <x v="0"/>
    <x v="2"/>
  </r>
  <r>
    <x v="227"/>
    <x v="3"/>
    <s v="Online Course"/>
    <x v="257"/>
    <x v="0"/>
    <x v="0"/>
  </r>
  <r>
    <x v="228"/>
    <x v="10"/>
    <s v="Dividend"/>
    <x v="258"/>
    <x v="1"/>
    <x v="0"/>
  </r>
  <r>
    <x v="228"/>
    <x v="8"/>
    <s v="Bus Ticket"/>
    <x v="259"/>
    <x v="0"/>
    <x v="2"/>
  </r>
  <r>
    <x v="228"/>
    <x v="6"/>
    <s v="Car Insurance"/>
    <x v="254"/>
    <x v="0"/>
    <x v="2"/>
  </r>
  <r>
    <x v="229"/>
    <x v="4"/>
    <s v="Shoes"/>
    <x v="260"/>
    <x v="0"/>
    <x v="0"/>
  </r>
  <r>
    <x v="230"/>
    <x v="0"/>
    <s v="Restaurant"/>
    <x v="261"/>
    <x v="0"/>
    <x v="1"/>
  </r>
  <r>
    <x v="230"/>
    <x v="2"/>
    <s v="Pharmacy"/>
    <x v="262"/>
    <x v="0"/>
    <x v="0"/>
  </r>
  <r>
    <x v="231"/>
    <x v="7"/>
    <s v="Apartment Rent"/>
    <x v="199"/>
    <x v="0"/>
    <x v="1"/>
  </r>
  <r>
    <x v="231"/>
    <x v="1"/>
    <s v="Netflix"/>
    <x v="263"/>
    <x v="0"/>
    <x v="1"/>
  </r>
  <r>
    <x v="232"/>
    <x v="7"/>
    <s v="Apartment Rent"/>
    <x v="241"/>
    <x v="0"/>
    <x v="0"/>
  </r>
  <r>
    <x v="232"/>
    <x v="11"/>
    <s v="Local Market"/>
    <x v="264"/>
    <x v="0"/>
    <x v="2"/>
  </r>
  <r>
    <x v="233"/>
    <x v="2"/>
    <s v="Doctor Visit"/>
    <x v="54"/>
    <x v="0"/>
    <x v="0"/>
  </r>
  <r>
    <x v="234"/>
    <x v="8"/>
    <s v="Ride Share"/>
    <x v="265"/>
    <x v="0"/>
    <x v="1"/>
  </r>
  <r>
    <x v="234"/>
    <x v="6"/>
    <s v="Health Insurance"/>
    <x v="251"/>
    <x v="0"/>
    <x v="2"/>
  </r>
  <r>
    <x v="235"/>
    <x v="5"/>
    <s v="Internet Subscription"/>
    <x v="80"/>
    <x v="0"/>
    <x v="0"/>
  </r>
  <r>
    <x v="236"/>
    <x v="7"/>
    <s v="Apartment Rent"/>
    <x v="266"/>
    <x v="0"/>
    <x v="1"/>
  </r>
  <r>
    <x v="236"/>
    <x v="11"/>
    <s v="Supermarket"/>
    <x v="235"/>
    <x v="0"/>
    <x v="2"/>
  </r>
  <r>
    <x v="237"/>
    <x v="8"/>
    <s v="Bus Ticket"/>
    <x v="267"/>
    <x v="0"/>
    <x v="3"/>
  </r>
  <r>
    <x v="238"/>
    <x v="5"/>
    <s v="Electric Bill"/>
    <x v="236"/>
    <x v="0"/>
    <x v="1"/>
  </r>
  <r>
    <x v="239"/>
    <x v="9"/>
    <s v="Monthly Pay"/>
    <x v="268"/>
    <x v="1"/>
    <x v="1"/>
  </r>
  <r>
    <x v="239"/>
    <x v="8"/>
    <s v="Bus Ticket"/>
    <x v="95"/>
    <x v="0"/>
    <x v="2"/>
  </r>
  <r>
    <x v="240"/>
    <x v="11"/>
    <s v="Local Market"/>
    <x v="28"/>
    <x v="0"/>
    <x v="3"/>
  </r>
  <r>
    <x v="241"/>
    <x v="5"/>
    <s v="Electric Bill"/>
    <x v="70"/>
    <x v="0"/>
    <x v="1"/>
  </r>
  <r>
    <x v="242"/>
    <x v="0"/>
    <s v="Coffee Shop"/>
    <x v="269"/>
    <x v="0"/>
    <x v="2"/>
  </r>
  <r>
    <x v="243"/>
    <x v="0"/>
    <s v="Restaurant"/>
    <x v="270"/>
    <x v="0"/>
    <x v="3"/>
  </r>
  <r>
    <x v="244"/>
    <x v="5"/>
    <s v="Electric Bill"/>
    <x v="179"/>
    <x v="0"/>
    <x v="1"/>
  </r>
  <r>
    <x v="245"/>
    <x v="12"/>
    <s v="Freelance Design"/>
    <x v="271"/>
    <x v="1"/>
    <x v="3"/>
  </r>
  <r>
    <x v="245"/>
    <x v="4"/>
    <s v="Casual Wear"/>
    <x v="259"/>
    <x v="0"/>
    <x v="0"/>
  </r>
  <r>
    <x v="246"/>
    <x v="8"/>
    <s v="Fuel"/>
    <x v="272"/>
    <x v="0"/>
    <x v="1"/>
  </r>
  <r>
    <x v="246"/>
    <x v="4"/>
    <s v="Casual Wear"/>
    <x v="199"/>
    <x v="0"/>
    <x v="3"/>
  </r>
  <r>
    <x v="247"/>
    <x v="7"/>
    <s v="Apartment Rent"/>
    <x v="2"/>
    <x v="0"/>
    <x v="1"/>
  </r>
  <r>
    <x v="248"/>
    <x v="11"/>
    <s v="Local Market"/>
    <x v="63"/>
    <x v="0"/>
    <x v="3"/>
  </r>
  <r>
    <x v="249"/>
    <x v="2"/>
    <s v="Doctor Visit"/>
    <x v="273"/>
    <x v="0"/>
    <x v="2"/>
  </r>
  <r>
    <x v="249"/>
    <x v="4"/>
    <s v="Shoes"/>
    <x v="274"/>
    <x v="0"/>
    <x v="2"/>
  </r>
  <r>
    <x v="250"/>
    <x v="12"/>
    <s v="Freelance Design"/>
    <x v="275"/>
    <x v="1"/>
    <x v="2"/>
  </r>
  <r>
    <x v="250"/>
    <x v="4"/>
    <s v="Casual Wear"/>
    <x v="30"/>
    <x v="0"/>
    <x v="0"/>
  </r>
  <r>
    <x v="251"/>
    <x v="8"/>
    <s v="Fuel"/>
    <x v="118"/>
    <x v="0"/>
    <x v="1"/>
  </r>
  <r>
    <x v="251"/>
    <x v="7"/>
    <s v="Apartment Rent"/>
    <x v="255"/>
    <x v="0"/>
    <x v="3"/>
  </r>
  <r>
    <x v="252"/>
    <x v="11"/>
    <s v="Supermarket"/>
    <x v="68"/>
    <x v="0"/>
    <x v="3"/>
  </r>
  <r>
    <x v="253"/>
    <x v="2"/>
    <s v="Pharmacy"/>
    <x v="276"/>
    <x v="0"/>
    <x v="3"/>
  </r>
  <r>
    <x v="253"/>
    <x v="3"/>
    <s v="Books"/>
    <x v="177"/>
    <x v="0"/>
    <x v="3"/>
  </r>
  <r>
    <x v="254"/>
    <x v="9"/>
    <s v="Quarterly Bonus"/>
    <x v="277"/>
    <x v="1"/>
    <x v="2"/>
  </r>
  <r>
    <x v="254"/>
    <x v="2"/>
    <s v="Pharmacy"/>
    <x v="146"/>
    <x v="0"/>
    <x v="2"/>
  </r>
  <r>
    <x v="255"/>
    <x v="9"/>
    <s v="Quarterly Bonus"/>
    <x v="278"/>
    <x v="1"/>
    <x v="1"/>
  </r>
  <r>
    <x v="255"/>
    <x v="7"/>
    <s v="Apartment Rent"/>
    <x v="34"/>
    <x v="0"/>
    <x v="3"/>
  </r>
  <r>
    <x v="255"/>
    <x v="8"/>
    <s v="Bus Ticket"/>
    <x v="279"/>
    <x v="0"/>
    <x v="0"/>
  </r>
  <r>
    <x v="256"/>
    <x v="8"/>
    <s v="Bus Ticket"/>
    <x v="103"/>
    <x v="0"/>
    <x v="3"/>
  </r>
  <r>
    <x v="257"/>
    <x v="4"/>
    <s v="Casual Wear"/>
    <x v="215"/>
    <x v="0"/>
    <x v="3"/>
  </r>
  <r>
    <x v="258"/>
    <x v="6"/>
    <s v="Car Insurance"/>
    <x v="235"/>
    <x v="0"/>
    <x v="2"/>
  </r>
  <r>
    <x v="258"/>
    <x v="5"/>
    <s v="Water Bill"/>
    <x v="95"/>
    <x v="0"/>
    <x v="0"/>
  </r>
  <r>
    <x v="259"/>
    <x v="0"/>
    <s v="Restaurant"/>
    <x v="280"/>
    <x v="0"/>
    <x v="2"/>
  </r>
  <r>
    <x v="260"/>
    <x v="7"/>
    <s v="Apartment Rent"/>
    <x v="281"/>
    <x v="0"/>
    <x v="3"/>
  </r>
  <r>
    <x v="261"/>
    <x v="0"/>
    <s v="Restaurant"/>
    <x v="282"/>
    <x v="0"/>
    <x v="0"/>
  </r>
  <r>
    <x v="262"/>
    <x v="5"/>
    <s v="Electric Bill"/>
    <x v="149"/>
    <x v="0"/>
    <x v="3"/>
  </r>
  <r>
    <x v="263"/>
    <x v="9"/>
    <s v="Monthly Pay"/>
    <x v="283"/>
    <x v="1"/>
    <x v="2"/>
  </r>
  <r>
    <x v="263"/>
    <x v="1"/>
    <s v="Concert Ticket"/>
    <x v="284"/>
    <x v="0"/>
    <x v="2"/>
  </r>
  <r>
    <x v="263"/>
    <x v="0"/>
    <s v="Coffee Shop"/>
    <x v="285"/>
    <x v="0"/>
    <x v="1"/>
  </r>
  <r>
    <x v="264"/>
    <x v="8"/>
    <s v="Bus Ticket"/>
    <x v="192"/>
    <x v="0"/>
    <x v="0"/>
  </r>
  <r>
    <x v="264"/>
    <x v="4"/>
    <s v="Casual Wear"/>
    <x v="93"/>
    <x v="0"/>
    <x v="2"/>
  </r>
  <r>
    <x v="265"/>
    <x v="7"/>
    <s v="Apartment Rent"/>
    <x v="163"/>
    <x v="0"/>
    <x v="3"/>
  </r>
  <r>
    <x v="265"/>
    <x v="8"/>
    <s v="Bus Ticket"/>
    <x v="286"/>
    <x v="0"/>
    <x v="3"/>
  </r>
  <r>
    <x v="266"/>
    <x v="2"/>
    <s v="Pharmacy"/>
    <x v="24"/>
    <x v="0"/>
    <x v="0"/>
  </r>
  <r>
    <x v="266"/>
    <x v="7"/>
    <s v="Apartment Rent"/>
    <x v="287"/>
    <x v="0"/>
    <x v="2"/>
  </r>
  <r>
    <x v="267"/>
    <x v="3"/>
    <s v="Books"/>
    <x v="1"/>
    <x v="0"/>
    <x v="1"/>
  </r>
  <r>
    <x v="268"/>
    <x v="7"/>
    <s v="Apartment Rent"/>
    <x v="61"/>
    <x v="0"/>
    <x v="2"/>
  </r>
  <r>
    <x v="268"/>
    <x v="1"/>
    <s v="Cinema"/>
    <x v="288"/>
    <x v="0"/>
    <x v="2"/>
  </r>
  <r>
    <x v="269"/>
    <x v="0"/>
    <s v="Restaurant"/>
    <x v="289"/>
    <x v="0"/>
    <x v="1"/>
  </r>
  <r>
    <x v="269"/>
    <x v="7"/>
    <s v="Apartment Rent"/>
    <x v="23"/>
    <x v="0"/>
    <x v="3"/>
  </r>
  <r>
    <x v="270"/>
    <x v="4"/>
    <s v="Casual Wear"/>
    <x v="141"/>
    <x v="0"/>
    <x v="0"/>
  </r>
  <r>
    <x v="271"/>
    <x v="11"/>
    <s v="Local Market"/>
    <x v="290"/>
    <x v="0"/>
    <x v="1"/>
  </r>
  <r>
    <x v="272"/>
    <x v="3"/>
    <s v="Online Course"/>
    <x v="182"/>
    <x v="0"/>
    <x v="3"/>
  </r>
  <r>
    <x v="273"/>
    <x v="3"/>
    <s v="Books"/>
    <x v="291"/>
    <x v="0"/>
    <x v="2"/>
  </r>
  <r>
    <x v="274"/>
    <x v="0"/>
    <s v="Restaurant"/>
    <x v="290"/>
    <x v="0"/>
    <x v="2"/>
  </r>
  <r>
    <x v="274"/>
    <x v="4"/>
    <s v="Casual Wear"/>
    <x v="292"/>
    <x v="0"/>
    <x v="1"/>
  </r>
  <r>
    <x v="275"/>
    <x v="1"/>
    <s v="Concert Ticket"/>
    <x v="7"/>
    <x v="0"/>
    <x v="1"/>
  </r>
  <r>
    <x v="276"/>
    <x v="0"/>
    <s v="Coffee Shop"/>
    <x v="122"/>
    <x v="0"/>
    <x v="1"/>
  </r>
  <r>
    <x v="277"/>
    <x v="8"/>
    <s v="Bus Ticket"/>
    <x v="171"/>
    <x v="0"/>
    <x v="3"/>
  </r>
  <r>
    <x v="277"/>
    <x v="4"/>
    <s v="Shoes"/>
    <x v="285"/>
    <x v="0"/>
    <x v="1"/>
  </r>
  <r>
    <x v="278"/>
    <x v="9"/>
    <s v="Monthly Pay"/>
    <x v="293"/>
    <x v="1"/>
    <x v="3"/>
  </r>
  <r>
    <x v="278"/>
    <x v="1"/>
    <s v="Concert Ticket"/>
    <x v="45"/>
    <x v="0"/>
    <x v="2"/>
  </r>
  <r>
    <x v="279"/>
    <x v="3"/>
    <s v="Books"/>
    <x v="294"/>
    <x v="0"/>
    <x v="3"/>
  </r>
  <r>
    <x v="279"/>
    <x v="0"/>
    <s v="Restaurant"/>
    <x v="184"/>
    <x v="0"/>
    <x v="3"/>
  </r>
  <r>
    <x v="280"/>
    <x v="4"/>
    <s v="Shoes"/>
    <x v="295"/>
    <x v="0"/>
    <x v="1"/>
  </r>
  <r>
    <x v="280"/>
    <x v="7"/>
    <s v="Apartment Rent"/>
    <x v="296"/>
    <x v="0"/>
    <x v="1"/>
  </r>
  <r>
    <x v="281"/>
    <x v="8"/>
    <s v="Bus Ticket"/>
    <x v="297"/>
    <x v="0"/>
    <x v="1"/>
  </r>
  <r>
    <x v="282"/>
    <x v="1"/>
    <s v="Netflix"/>
    <x v="82"/>
    <x v="0"/>
    <x v="2"/>
  </r>
  <r>
    <x v="282"/>
    <x v="2"/>
    <s v="Pharmacy"/>
    <x v="204"/>
    <x v="0"/>
    <x v="3"/>
  </r>
  <r>
    <x v="283"/>
    <x v="6"/>
    <s v="Health Insurance"/>
    <x v="14"/>
    <x v="0"/>
    <x v="0"/>
  </r>
  <r>
    <x v="284"/>
    <x v="7"/>
    <s v="Apartment Rent"/>
    <x v="298"/>
    <x v="0"/>
    <x v="3"/>
  </r>
  <r>
    <x v="284"/>
    <x v="0"/>
    <s v="Restaurant"/>
    <x v="299"/>
    <x v="0"/>
    <x v="2"/>
  </r>
  <r>
    <x v="285"/>
    <x v="9"/>
    <s v="Quarterly Bonus"/>
    <x v="300"/>
    <x v="1"/>
    <x v="2"/>
  </r>
  <r>
    <x v="285"/>
    <x v="5"/>
    <s v="Internet Subscription"/>
    <x v="226"/>
    <x v="0"/>
    <x v="3"/>
  </r>
  <r>
    <x v="286"/>
    <x v="4"/>
    <s v="Casual Wear"/>
    <x v="33"/>
    <x v="0"/>
    <x v="1"/>
  </r>
  <r>
    <x v="287"/>
    <x v="2"/>
    <s v="Pharmacy"/>
    <x v="301"/>
    <x v="0"/>
    <x v="2"/>
  </r>
  <r>
    <x v="287"/>
    <x v="4"/>
    <s v="Shoes"/>
    <x v="302"/>
    <x v="0"/>
    <x v="2"/>
  </r>
  <r>
    <x v="288"/>
    <x v="4"/>
    <s v="Shoes"/>
    <x v="241"/>
    <x v="0"/>
    <x v="3"/>
  </r>
  <r>
    <x v="289"/>
    <x v="8"/>
    <s v="Bus Ticket"/>
    <x v="303"/>
    <x v="0"/>
    <x v="3"/>
  </r>
  <r>
    <x v="289"/>
    <x v="7"/>
    <s v="Apartment Rent"/>
    <x v="229"/>
    <x v="0"/>
    <x v="2"/>
  </r>
  <r>
    <x v="290"/>
    <x v="11"/>
    <s v="Local Market"/>
    <x v="218"/>
    <x v="0"/>
    <x v="0"/>
  </r>
  <r>
    <x v="291"/>
    <x v="10"/>
    <s v="Dividend"/>
    <x v="304"/>
    <x v="1"/>
    <x v="3"/>
  </r>
  <r>
    <x v="291"/>
    <x v="1"/>
    <s v="Concert Ticket"/>
    <x v="305"/>
    <x v="0"/>
    <x v="2"/>
  </r>
  <r>
    <x v="292"/>
    <x v="11"/>
    <s v="Supermarket"/>
    <x v="306"/>
    <x v="0"/>
    <x v="3"/>
  </r>
  <r>
    <x v="293"/>
    <x v="10"/>
    <s v="Interest Income"/>
    <x v="307"/>
    <x v="1"/>
    <x v="3"/>
  </r>
  <r>
    <x v="293"/>
    <x v="4"/>
    <s v="Shoes"/>
    <x v="308"/>
    <x v="0"/>
    <x v="3"/>
  </r>
  <r>
    <x v="293"/>
    <x v="0"/>
    <s v="Coffee Shop"/>
    <x v="72"/>
    <x v="0"/>
    <x v="3"/>
  </r>
  <r>
    <x v="294"/>
    <x v="3"/>
    <s v="Online Course"/>
    <x v="125"/>
    <x v="0"/>
    <x v="2"/>
  </r>
  <r>
    <x v="295"/>
    <x v="8"/>
    <s v="Ride Share"/>
    <x v="100"/>
    <x v="0"/>
    <x v="1"/>
  </r>
  <r>
    <x v="296"/>
    <x v="7"/>
    <s v="Apartment Rent"/>
    <x v="117"/>
    <x v="0"/>
    <x v="0"/>
  </r>
  <r>
    <x v="296"/>
    <x v="1"/>
    <s v="Concert Ticket"/>
    <x v="309"/>
    <x v="0"/>
    <x v="0"/>
  </r>
  <r>
    <x v="297"/>
    <x v="4"/>
    <s v="Casual Wear"/>
    <x v="310"/>
    <x v="0"/>
    <x v="0"/>
  </r>
  <r>
    <x v="298"/>
    <x v="9"/>
    <s v="Monthly Pay"/>
    <x v="311"/>
    <x v="1"/>
    <x v="0"/>
  </r>
  <r>
    <x v="298"/>
    <x v="8"/>
    <s v="Fuel"/>
    <x v="29"/>
    <x v="0"/>
    <x v="3"/>
  </r>
  <r>
    <x v="298"/>
    <x v="5"/>
    <s v="Water Bill"/>
    <x v="312"/>
    <x v="0"/>
    <x v="3"/>
  </r>
  <r>
    <x v="299"/>
    <x v="8"/>
    <s v="Bus Ticket"/>
    <x v="313"/>
    <x v="0"/>
    <x v="3"/>
  </r>
  <r>
    <x v="300"/>
    <x v="3"/>
    <s v="Online Course"/>
    <x v="235"/>
    <x v="0"/>
    <x v="0"/>
  </r>
  <r>
    <x v="301"/>
    <x v="11"/>
    <s v="Local Market"/>
    <x v="314"/>
    <x v="0"/>
    <x v="3"/>
  </r>
  <r>
    <x v="301"/>
    <x v="0"/>
    <s v="Coffee Shop"/>
    <x v="315"/>
    <x v="0"/>
    <x v="1"/>
  </r>
  <r>
    <x v="302"/>
    <x v="11"/>
    <s v="Local Market"/>
    <x v="186"/>
    <x v="0"/>
    <x v="2"/>
  </r>
  <r>
    <x v="302"/>
    <x v="3"/>
    <s v="Online Course"/>
    <x v="196"/>
    <x v="0"/>
    <x v="2"/>
  </r>
  <r>
    <x v="303"/>
    <x v="1"/>
    <s v="Cinema"/>
    <x v="316"/>
    <x v="0"/>
    <x v="2"/>
  </r>
  <r>
    <x v="303"/>
    <x v="3"/>
    <s v="Online Course"/>
    <x v="317"/>
    <x v="0"/>
    <x v="3"/>
  </r>
  <r>
    <x v="304"/>
    <x v="3"/>
    <s v="Books"/>
    <x v="105"/>
    <x v="0"/>
    <x v="1"/>
  </r>
  <r>
    <x v="305"/>
    <x v="1"/>
    <s v="Cinema"/>
    <x v="105"/>
    <x v="0"/>
    <x v="0"/>
  </r>
  <r>
    <x v="306"/>
    <x v="3"/>
    <s v="Online Course"/>
    <x v="318"/>
    <x v="0"/>
    <x v="0"/>
  </r>
  <r>
    <x v="307"/>
    <x v="6"/>
    <s v="Car Insurance"/>
    <x v="220"/>
    <x v="0"/>
    <x v="0"/>
  </r>
  <r>
    <x v="308"/>
    <x v="7"/>
    <s v="Apartment Rent"/>
    <x v="319"/>
    <x v="0"/>
    <x v="0"/>
  </r>
  <r>
    <x v="308"/>
    <x v="1"/>
    <s v="Netflix"/>
    <x v="320"/>
    <x v="0"/>
    <x v="1"/>
  </r>
  <r>
    <x v="309"/>
    <x v="6"/>
    <s v="Car Insurance"/>
    <x v="273"/>
    <x v="0"/>
    <x v="3"/>
  </r>
  <r>
    <x v="310"/>
    <x v="4"/>
    <s v="Casual Wear"/>
    <x v="321"/>
    <x v="0"/>
    <x v="3"/>
  </r>
  <r>
    <x v="311"/>
    <x v="1"/>
    <s v="Cinema"/>
    <x v="203"/>
    <x v="0"/>
    <x v="3"/>
  </r>
  <r>
    <x v="312"/>
    <x v="4"/>
    <s v="Shoes"/>
    <x v="170"/>
    <x v="0"/>
    <x v="0"/>
  </r>
  <r>
    <x v="313"/>
    <x v="5"/>
    <s v="Water Bill"/>
    <x v="274"/>
    <x v="0"/>
    <x v="3"/>
  </r>
  <r>
    <x v="313"/>
    <x v="6"/>
    <s v="Health Insurance"/>
    <x v="211"/>
    <x v="0"/>
    <x v="1"/>
  </r>
  <r>
    <x v="314"/>
    <x v="8"/>
    <s v="Ride Share"/>
    <x v="301"/>
    <x v="0"/>
    <x v="1"/>
  </r>
  <r>
    <x v="315"/>
    <x v="4"/>
    <s v="Shoes"/>
    <x v="83"/>
    <x v="0"/>
    <x v="2"/>
  </r>
  <r>
    <x v="315"/>
    <x v="11"/>
    <s v="Local Market"/>
    <x v="322"/>
    <x v="0"/>
    <x v="1"/>
  </r>
  <r>
    <x v="316"/>
    <x v="1"/>
    <s v="Cinema"/>
    <x v="323"/>
    <x v="0"/>
    <x v="3"/>
  </r>
  <r>
    <x v="317"/>
    <x v="3"/>
    <s v="Online Course"/>
    <x v="210"/>
    <x v="0"/>
    <x v="3"/>
  </r>
  <r>
    <x v="317"/>
    <x v="7"/>
    <s v="Apartment Rent"/>
    <x v="16"/>
    <x v="0"/>
    <x v="1"/>
  </r>
  <r>
    <x v="318"/>
    <x v="5"/>
    <s v="Water Bill"/>
    <x v="154"/>
    <x v="0"/>
    <x v="3"/>
  </r>
  <r>
    <x v="319"/>
    <x v="3"/>
    <s v="Books"/>
    <x v="324"/>
    <x v="0"/>
    <x v="2"/>
  </r>
  <r>
    <x v="319"/>
    <x v="4"/>
    <s v="Shoes"/>
    <x v="325"/>
    <x v="0"/>
    <x v="3"/>
  </r>
  <r>
    <x v="320"/>
    <x v="6"/>
    <s v="Car Insurance"/>
    <x v="125"/>
    <x v="0"/>
    <x v="2"/>
  </r>
  <r>
    <x v="321"/>
    <x v="8"/>
    <s v="Ride Share"/>
    <x v="326"/>
    <x v="0"/>
    <x v="3"/>
  </r>
  <r>
    <x v="321"/>
    <x v="6"/>
    <s v="Car Insurance"/>
    <x v="102"/>
    <x v="0"/>
    <x v="1"/>
  </r>
  <r>
    <x v="322"/>
    <x v="9"/>
    <s v="Monthly Pay"/>
    <x v="327"/>
    <x v="1"/>
    <x v="2"/>
  </r>
  <r>
    <x v="322"/>
    <x v="2"/>
    <s v="Doctor Visit"/>
    <x v="328"/>
    <x v="0"/>
    <x v="1"/>
  </r>
  <r>
    <x v="322"/>
    <x v="6"/>
    <s v="Car Insurance"/>
    <x v="319"/>
    <x v="0"/>
    <x v="2"/>
  </r>
  <r>
    <x v="323"/>
    <x v="8"/>
    <s v="Bus Ticket"/>
    <x v="166"/>
    <x v="0"/>
    <x v="1"/>
  </r>
  <r>
    <x v="323"/>
    <x v="11"/>
    <s v="Supermarket"/>
    <x v="329"/>
    <x v="0"/>
    <x v="2"/>
  </r>
  <r>
    <x v="324"/>
    <x v="7"/>
    <s v="Apartment Rent"/>
    <x v="5"/>
    <x v="0"/>
    <x v="2"/>
  </r>
  <r>
    <x v="325"/>
    <x v="5"/>
    <s v="Water Bill"/>
    <x v="296"/>
    <x v="0"/>
    <x v="3"/>
  </r>
  <r>
    <x v="326"/>
    <x v="2"/>
    <s v="Pharmacy"/>
    <x v="264"/>
    <x v="0"/>
    <x v="0"/>
  </r>
  <r>
    <x v="327"/>
    <x v="1"/>
    <s v="Cinema"/>
    <x v="125"/>
    <x v="0"/>
    <x v="0"/>
  </r>
  <r>
    <x v="327"/>
    <x v="11"/>
    <s v="Local Market"/>
    <x v="272"/>
    <x v="0"/>
    <x v="3"/>
  </r>
  <r>
    <x v="328"/>
    <x v="0"/>
    <s v="Coffee Shop"/>
    <x v="330"/>
    <x v="0"/>
    <x v="3"/>
  </r>
  <r>
    <x v="328"/>
    <x v="2"/>
    <s v="Pharmacy"/>
    <x v="331"/>
    <x v="0"/>
    <x v="0"/>
  </r>
  <r>
    <x v="329"/>
    <x v="1"/>
    <s v="Concert Ticket"/>
    <x v="141"/>
    <x v="0"/>
    <x v="0"/>
  </r>
  <r>
    <x v="330"/>
    <x v="8"/>
    <s v="Bus Ticket"/>
    <x v="69"/>
    <x v="0"/>
    <x v="3"/>
  </r>
  <r>
    <x v="330"/>
    <x v="4"/>
    <s v="Casual Wear"/>
    <x v="70"/>
    <x v="0"/>
    <x v="2"/>
  </r>
  <r>
    <x v="331"/>
    <x v="11"/>
    <s v="Local Market"/>
    <x v="331"/>
    <x v="0"/>
    <x v="3"/>
  </r>
  <r>
    <x v="331"/>
    <x v="8"/>
    <s v="Ride Share"/>
    <x v="230"/>
    <x v="0"/>
    <x v="2"/>
  </r>
  <r>
    <x v="332"/>
    <x v="1"/>
    <s v="Cinema"/>
    <x v="22"/>
    <x v="0"/>
    <x v="2"/>
  </r>
  <r>
    <x v="333"/>
    <x v="9"/>
    <s v="Monthly Pay"/>
    <x v="332"/>
    <x v="1"/>
    <x v="2"/>
  </r>
  <r>
    <x v="333"/>
    <x v="8"/>
    <s v="Bus Ticket"/>
    <x v="197"/>
    <x v="0"/>
    <x v="1"/>
  </r>
  <r>
    <x v="333"/>
    <x v="2"/>
    <s v="Doctor Visit"/>
    <x v="47"/>
    <x v="0"/>
    <x v="0"/>
  </r>
  <r>
    <x v="334"/>
    <x v="6"/>
    <s v="Health Insurance"/>
    <x v="333"/>
    <x v="0"/>
    <x v="0"/>
  </r>
  <r>
    <x v="334"/>
    <x v="1"/>
    <s v="Concert Ticket"/>
    <x v="334"/>
    <x v="0"/>
    <x v="3"/>
  </r>
  <r>
    <x v="335"/>
    <x v="7"/>
    <s v="Apartment Rent"/>
    <x v="4"/>
    <x v="0"/>
    <x v="0"/>
  </r>
  <r>
    <x v="335"/>
    <x v="0"/>
    <s v="Restaurant"/>
    <x v="104"/>
    <x v="0"/>
    <x v="0"/>
  </r>
  <r>
    <x v="336"/>
    <x v="1"/>
    <s v="Netflix"/>
    <x v="193"/>
    <x v="0"/>
    <x v="3"/>
  </r>
  <r>
    <x v="337"/>
    <x v="11"/>
    <s v="Local Market"/>
    <x v="335"/>
    <x v="0"/>
    <x v="0"/>
  </r>
  <r>
    <x v="338"/>
    <x v="6"/>
    <s v="Car Insurance"/>
    <x v="144"/>
    <x v="0"/>
    <x v="2"/>
  </r>
  <r>
    <x v="339"/>
    <x v="2"/>
    <s v="Pharmacy"/>
    <x v="168"/>
    <x v="0"/>
    <x v="0"/>
  </r>
  <r>
    <x v="339"/>
    <x v="1"/>
    <s v="Concert Ticket"/>
    <x v="106"/>
    <x v="0"/>
    <x v="1"/>
  </r>
  <r>
    <x v="340"/>
    <x v="2"/>
    <s v="Doctor Visit"/>
    <x v="217"/>
    <x v="0"/>
    <x v="2"/>
  </r>
  <r>
    <x v="341"/>
    <x v="6"/>
    <s v="Car Insurance"/>
    <x v="106"/>
    <x v="0"/>
    <x v="0"/>
  </r>
  <r>
    <x v="342"/>
    <x v="1"/>
    <s v="Cinema"/>
    <x v="154"/>
    <x v="0"/>
    <x v="3"/>
  </r>
  <r>
    <x v="342"/>
    <x v="0"/>
    <s v="Restaurant"/>
    <x v="140"/>
    <x v="0"/>
    <x v="2"/>
  </r>
  <r>
    <x v="343"/>
    <x v="7"/>
    <s v="Apartment Rent"/>
    <x v="288"/>
    <x v="0"/>
    <x v="2"/>
  </r>
  <r>
    <x v="343"/>
    <x v="1"/>
    <s v="Cinema"/>
    <x v="7"/>
    <x v="0"/>
    <x v="2"/>
  </r>
  <r>
    <x v="344"/>
    <x v="9"/>
    <s v="Monthly Pay"/>
    <x v="336"/>
    <x v="1"/>
    <x v="1"/>
  </r>
  <r>
    <x v="344"/>
    <x v="1"/>
    <s v="Concert Ticket"/>
    <x v="337"/>
    <x v="0"/>
    <x v="3"/>
  </r>
  <r>
    <x v="345"/>
    <x v="8"/>
    <s v="Bus Ticket"/>
    <x v="299"/>
    <x v="0"/>
    <x v="0"/>
  </r>
  <r>
    <x v="345"/>
    <x v="4"/>
    <s v="Shoes"/>
    <x v="338"/>
    <x v="0"/>
    <x v="2"/>
  </r>
  <r>
    <x v="346"/>
    <x v="3"/>
    <s v="Online Course"/>
    <x v="165"/>
    <x v="0"/>
    <x v="2"/>
  </r>
  <r>
    <x v="347"/>
    <x v="4"/>
    <s v="Shoes"/>
    <x v="339"/>
    <x v="0"/>
    <x v="3"/>
  </r>
  <r>
    <x v="347"/>
    <x v="11"/>
    <s v="Local Market"/>
    <x v="340"/>
    <x v="0"/>
    <x v="3"/>
  </r>
  <r>
    <x v="348"/>
    <x v="1"/>
    <s v="Concert Ticket"/>
    <x v="97"/>
    <x v="0"/>
    <x v="3"/>
  </r>
  <r>
    <x v="348"/>
    <x v="0"/>
    <s v="Restaurant"/>
    <x v="187"/>
    <x v="0"/>
    <x v="1"/>
  </r>
  <r>
    <x v="349"/>
    <x v="6"/>
    <s v="Car Insurance"/>
    <x v="123"/>
    <x v="0"/>
    <x v="0"/>
  </r>
  <r>
    <x v="350"/>
    <x v="11"/>
    <s v="Supermarket"/>
    <x v="40"/>
    <x v="0"/>
    <x v="1"/>
  </r>
  <r>
    <x v="350"/>
    <x v="0"/>
    <s v="Restaurant"/>
    <x v="341"/>
    <x v="0"/>
    <x v="0"/>
  </r>
  <r>
    <x v="351"/>
    <x v="0"/>
    <s v="Restaurant"/>
    <x v="105"/>
    <x v="0"/>
    <x v="2"/>
  </r>
  <r>
    <x v="352"/>
    <x v="0"/>
    <s v="Coffee Shop"/>
    <x v="342"/>
    <x v="0"/>
    <x v="3"/>
  </r>
  <r>
    <x v="353"/>
    <x v="5"/>
    <s v="Internet Subscription"/>
    <x v="127"/>
    <x v="0"/>
    <x v="0"/>
  </r>
  <r>
    <x v="353"/>
    <x v="3"/>
    <s v="Online Course"/>
    <x v="343"/>
    <x v="0"/>
    <x v="3"/>
  </r>
  <r>
    <x v="354"/>
    <x v="3"/>
    <s v="Books"/>
    <x v="279"/>
    <x v="0"/>
    <x v="1"/>
  </r>
  <r>
    <x v="354"/>
    <x v="11"/>
    <s v="Supermarket"/>
    <x v="344"/>
    <x v="0"/>
    <x v="1"/>
  </r>
  <r>
    <x v="355"/>
    <x v="7"/>
    <s v="Apartment Rent"/>
    <x v="345"/>
    <x v="0"/>
    <x v="3"/>
  </r>
  <r>
    <x v="356"/>
    <x v="12"/>
    <s v="Consulting Job"/>
    <x v="346"/>
    <x v="1"/>
    <x v="2"/>
  </r>
  <r>
    <x v="356"/>
    <x v="4"/>
    <s v="Casual Wear"/>
    <x v="280"/>
    <x v="0"/>
    <x v="3"/>
  </r>
  <r>
    <x v="357"/>
    <x v="1"/>
    <s v="Concert Ticket"/>
    <x v="347"/>
    <x v="0"/>
    <x v="3"/>
  </r>
  <r>
    <x v="357"/>
    <x v="2"/>
    <s v="Pharmacy"/>
    <x v="294"/>
    <x v="0"/>
    <x v="1"/>
  </r>
  <r>
    <x v="358"/>
    <x v="7"/>
    <s v="Apartment Rent"/>
    <x v="273"/>
    <x v="0"/>
    <x v="3"/>
  </r>
  <r>
    <x v="358"/>
    <x v="11"/>
    <s v="Local Market"/>
    <x v="175"/>
    <x v="0"/>
    <x v="0"/>
  </r>
  <r>
    <x v="359"/>
    <x v="3"/>
    <s v="Online Course"/>
    <x v="329"/>
    <x v="0"/>
    <x v="3"/>
  </r>
  <r>
    <x v="359"/>
    <x v="8"/>
    <s v="Bus Ticket"/>
    <x v="162"/>
    <x v="0"/>
    <x v="2"/>
  </r>
  <r>
    <x v="360"/>
    <x v="11"/>
    <s v="Local Market"/>
    <x v="348"/>
    <x v="0"/>
    <x v="0"/>
  </r>
  <r>
    <x v="361"/>
    <x v="6"/>
    <s v="Health Insurance"/>
    <x v="24"/>
    <x v="0"/>
    <x v="2"/>
  </r>
  <r>
    <x v="361"/>
    <x v="7"/>
    <s v="Apartment Rent"/>
    <x v="349"/>
    <x v="0"/>
    <x v="2"/>
  </r>
  <r>
    <x v="362"/>
    <x v="0"/>
    <s v="Coffee Shop"/>
    <x v="260"/>
    <x v="0"/>
    <x v="3"/>
  </r>
  <r>
    <x v="362"/>
    <x v="6"/>
    <s v="Health Insurance"/>
    <x v="350"/>
    <x v="0"/>
    <x v="1"/>
  </r>
  <r>
    <x v="363"/>
    <x v="2"/>
    <s v="Pharmacy"/>
    <x v="313"/>
    <x v="0"/>
    <x v="3"/>
  </r>
  <r>
    <x v="363"/>
    <x v="7"/>
    <s v="Apartment Rent"/>
    <x v="351"/>
    <x v="0"/>
    <x v="2"/>
  </r>
  <r>
    <x v="364"/>
    <x v="7"/>
    <s v="Apartment Rent"/>
    <x v="148"/>
    <x v="0"/>
    <x v="0"/>
  </r>
  <r>
    <x v="364"/>
    <x v="5"/>
    <s v="Internet Subscription"/>
    <x v="352"/>
    <x v="0"/>
    <x v="1"/>
  </r>
  <r>
    <x v="365"/>
    <x v="1"/>
    <s v="Netflix"/>
    <x v="25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E4BEE4-61E6-4A4E-AB08-DE012B0E2BC9}"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rowPageCount="1" colPageCount="1"/>
  <pivotFields count="8">
    <pivotField axis="axisRow"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4">
        <item x="4"/>
        <item x="0"/>
        <item x="3"/>
        <item x="1"/>
        <item x="12"/>
        <item x="11"/>
        <item x="2"/>
        <item x="6"/>
        <item x="10"/>
        <item x="7"/>
        <item x="9"/>
        <item x="8"/>
        <item x="5"/>
        <item t="default"/>
      </items>
    </pivotField>
    <pivotField showAll="0"/>
    <pivotField dataField="1" showAll="0"/>
    <pivotField axis="axisPage" showAll="0">
      <items count="3">
        <item x="0"/>
        <item x="1"/>
        <item t="default"/>
      </items>
    </pivotField>
    <pivotField showAll="0">
      <items count="5">
        <item x="0"/>
        <item x="3"/>
        <item x="2"/>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13">
    <i>
      <x v="1"/>
    </i>
    <i>
      <x v="2"/>
    </i>
    <i>
      <x v="3"/>
    </i>
    <i>
      <x v="4"/>
    </i>
    <i>
      <x v="5"/>
    </i>
    <i>
      <x v="6"/>
    </i>
    <i>
      <x v="7"/>
    </i>
    <i>
      <x v="8"/>
    </i>
    <i>
      <x v="9"/>
    </i>
    <i>
      <x v="10"/>
    </i>
    <i>
      <x v="11"/>
    </i>
    <i>
      <x v="12"/>
    </i>
    <i t="grand">
      <x/>
    </i>
  </rowItems>
  <colItems count="1">
    <i/>
  </colItems>
  <pageFields count="1">
    <pageField fld="4" item="0" hier="-1"/>
  </pageField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CD80C9-3113-476E-A63F-F3DE36CB8D36}"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4" firstHeaderRow="1" firstDataRow="1" firstDataCol="1" rowPageCount="1" colPageCount="1"/>
  <pivotFields count="8">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4">
        <item x="4"/>
        <item x="0"/>
        <item x="3"/>
        <item x="1"/>
        <item x="12"/>
        <item x="11"/>
        <item x="2"/>
        <item x="6"/>
        <item x="10"/>
        <item x="7"/>
        <item x="9"/>
        <item x="8"/>
        <item x="5"/>
        <item t="default"/>
      </items>
    </pivotField>
    <pivotField showAll="0"/>
    <pivotField dataField="1" showAll="0"/>
    <pivotField axis="axisPage" showAll="0">
      <items count="3">
        <item x="0"/>
        <item x="1"/>
        <item t="default"/>
      </items>
    </pivotField>
    <pivotField showAll="0">
      <items count="5">
        <item x="0"/>
        <item x="3"/>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i>
    <i>
      <x v="1"/>
    </i>
    <i>
      <x v="2"/>
    </i>
    <i>
      <x v="3"/>
    </i>
    <i>
      <x v="5"/>
    </i>
    <i>
      <x v="6"/>
    </i>
    <i>
      <x v="7"/>
    </i>
    <i>
      <x v="9"/>
    </i>
    <i>
      <x v="11"/>
    </i>
    <i>
      <x v="12"/>
    </i>
    <i t="grand">
      <x/>
    </i>
  </rowItems>
  <colItems count="1">
    <i/>
  </colItems>
  <pageFields count="1">
    <pageField fld="4" item="0" hier="-1"/>
  </pageField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68287-104B-4C14-A2DB-5DB50EF6A96A}"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14" firstHeaderRow="1" firstDataRow="1" firstDataCol="1" rowPageCount="1" colPageCount="1"/>
  <pivotFields count="8">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4">
        <item x="4"/>
        <item x="0"/>
        <item x="3"/>
        <item x="1"/>
        <item x="12"/>
        <item x="11"/>
        <item x="2"/>
        <item x="6"/>
        <item x="10"/>
        <item x="7"/>
        <item x="9"/>
        <item x="8"/>
        <item x="5"/>
        <item t="default"/>
      </items>
    </pivotField>
    <pivotField showAll="0"/>
    <pivotField dataField="1" showAll="0"/>
    <pivotField axis="axisPage" showAll="0">
      <items count="3">
        <item x="0"/>
        <item x="1"/>
        <item t="default"/>
      </items>
    </pivotField>
    <pivotField showAll="0">
      <items count="5">
        <item x="0"/>
        <item x="3"/>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i>
    <i>
      <x v="1"/>
    </i>
    <i>
      <x v="2"/>
    </i>
    <i>
      <x v="3"/>
    </i>
    <i>
      <x v="5"/>
    </i>
    <i>
      <x v="6"/>
    </i>
    <i>
      <x v="7"/>
    </i>
    <i>
      <x v="9"/>
    </i>
    <i>
      <x v="11"/>
    </i>
    <i>
      <x v="12"/>
    </i>
    <i t="grand">
      <x/>
    </i>
  </rowItems>
  <colItems count="1">
    <i/>
  </colItems>
  <pageFields count="1">
    <pageField fld="4" item="0" hier="-1"/>
  </pageFields>
  <dataFields count="1">
    <dataField name="Sum of Amount" fld="3" baseField="0" baseItem="0"/>
  </dataFields>
  <chartFormats count="22">
    <chartFormat chart="6"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0"/>
          </reference>
        </references>
      </pivotArea>
    </chartFormat>
    <chartFormat chart="12" format="14">
      <pivotArea type="data" outline="0" fieldPosition="0">
        <references count="2">
          <reference field="4294967294" count="1" selected="0">
            <x v="0"/>
          </reference>
          <reference field="1" count="1" selected="0">
            <x v="1"/>
          </reference>
        </references>
      </pivotArea>
    </chartFormat>
    <chartFormat chart="12" format="15">
      <pivotArea type="data" outline="0" fieldPosition="0">
        <references count="2">
          <reference field="4294967294" count="1" selected="0">
            <x v="0"/>
          </reference>
          <reference field="1" count="1" selected="0">
            <x v="2"/>
          </reference>
        </references>
      </pivotArea>
    </chartFormat>
    <chartFormat chart="12" format="16">
      <pivotArea type="data" outline="0" fieldPosition="0">
        <references count="2">
          <reference field="4294967294" count="1" selected="0">
            <x v="0"/>
          </reference>
          <reference field="1" count="1" selected="0">
            <x v="3"/>
          </reference>
        </references>
      </pivotArea>
    </chartFormat>
    <chartFormat chart="12" format="17">
      <pivotArea type="data" outline="0" fieldPosition="0">
        <references count="2">
          <reference field="4294967294" count="1" selected="0">
            <x v="0"/>
          </reference>
          <reference field="1" count="1" selected="0">
            <x v="5"/>
          </reference>
        </references>
      </pivotArea>
    </chartFormat>
    <chartFormat chart="12" format="18">
      <pivotArea type="data" outline="0" fieldPosition="0">
        <references count="2">
          <reference field="4294967294" count="1" selected="0">
            <x v="0"/>
          </reference>
          <reference field="1" count="1" selected="0">
            <x v="6"/>
          </reference>
        </references>
      </pivotArea>
    </chartFormat>
    <chartFormat chart="12" format="19">
      <pivotArea type="data" outline="0" fieldPosition="0">
        <references count="2">
          <reference field="4294967294" count="1" selected="0">
            <x v="0"/>
          </reference>
          <reference field="1" count="1" selected="0">
            <x v="7"/>
          </reference>
        </references>
      </pivotArea>
    </chartFormat>
    <chartFormat chart="12" format="20">
      <pivotArea type="data" outline="0" fieldPosition="0">
        <references count="2">
          <reference field="4294967294" count="1" selected="0">
            <x v="0"/>
          </reference>
          <reference field="1" count="1" selected="0">
            <x v="9"/>
          </reference>
        </references>
      </pivotArea>
    </chartFormat>
    <chartFormat chart="12" format="21">
      <pivotArea type="data" outline="0" fieldPosition="0">
        <references count="2">
          <reference field="4294967294" count="1" selected="0">
            <x v="0"/>
          </reference>
          <reference field="1" count="1" selected="0">
            <x v="11"/>
          </reference>
        </references>
      </pivotArea>
    </chartFormat>
    <chartFormat chart="12" format="22">
      <pivotArea type="data" outline="0" fieldPosition="0">
        <references count="2">
          <reference field="4294967294" count="1" selected="0">
            <x v="0"/>
          </reference>
          <reference field="1" count="1" selected="0">
            <x v="12"/>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5"/>
          </reference>
        </references>
      </pivotArea>
    </chartFormat>
    <chartFormat chart="6" format="6">
      <pivotArea type="data" outline="0" fieldPosition="0">
        <references count="2">
          <reference field="4294967294" count="1" selected="0">
            <x v="0"/>
          </reference>
          <reference field="1" count="1" selected="0">
            <x v="6"/>
          </reference>
        </references>
      </pivotArea>
    </chartFormat>
    <chartFormat chart="6" format="7">
      <pivotArea type="data" outline="0" fieldPosition="0">
        <references count="2">
          <reference field="4294967294" count="1" selected="0">
            <x v="0"/>
          </reference>
          <reference field="1" count="1" selected="0">
            <x v="7"/>
          </reference>
        </references>
      </pivotArea>
    </chartFormat>
    <chartFormat chart="6" format="8">
      <pivotArea type="data" outline="0" fieldPosition="0">
        <references count="2">
          <reference field="4294967294" count="1" selected="0">
            <x v="0"/>
          </reference>
          <reference field="1" count="1" selected="0">
            <x v="9"/>
          </reference>
        </references>
      </pivotArea>
    </chartFormat>
    <chartFormat chart="6" format="9">
      <pivotArea type="data" outline="0" fieldPosition="0">
        <references count="2">
          <reference field="4294967294" count="1" selected="0">
            <x v="0"/>
          </reference>
          <reference field="1" count="1" selected="0">
            <x v="11"/>
          </reference>
        </references>
      </pivotArea>
    </chartFormat>
    <chartFormat chart="6" format="10">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64CA94-73EA-40C7-AC95-ED9CEDB04097}" sourceName="Category">
  <pivotTables>
    <pivotTable tabId="4" name="PivotTable1"/>
    <pivotTable tabId="4" name="PivotTable5"/>
    <pivotTable tabId="4" name="PivotTable6"/>
  </pivotTables>
  <data>
    <tabular pivotCacheId="606821695">
      <items count="13">
        <i x="4" s="1"/>
        <i x="0" s="1"/>
        <i x="3" s="1"/>
        <i x="1" s="1"/>
        <i x="11" s="1"/>
        <i x="2" s="1"/>
        <i x="6" s="1"/>
        <i x="7" s="1"/>
        <i x="8" s="1"/>
        <i x="5" s="1"/>
        <i x="12" s="1" nd="1"/>
        <i x="10"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BFFF2E6-E6FD-47B8-90FF-711E46CCC809}" sourceName="Type">
  <pivotTables>
    <pivotTable tabId="4" name="PivotTable1"/>
    <pivotTable tabId="4" name="PivotTable5"/>
    <pivotTable tabId="4" name="PivotTable6"/>
  </pivotTables>
  <data>
    <tabular pivotCacheId="606821695">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84B3A87-7B6D-4CA7-A38E-0EA8427617D5}" sourceName="Payment Method">
  <pivotTables>
    <pivotTable tabId="4" name="PivotTable1"/>
    <pivotTable tabId="4" name="PivotTable5"/>
    <pivotTable tabId="4" name="PivotTable6"/>
  </pivotTables>
  <data>
    <tabular pivotCacheId="606821695">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D95B5E7-35C7-45FD-9FAA-F75430F0FDCB}" sourceName="Months (Date)">
  <pivotTables>
    <pivotTable tabId="4" name="PivotTable1"/>
    <pivotTable tabId="4" name="PivotTable5"/>
    <pivotTable tabId="4" name="PivotTable6"/>
  </pivotTables>
  <data>
    <tabular pivotCacheId="60682169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5FA9CD4-271A-4200-9678-09547F0DA990}" cache="Slicer_Category" caption="Category" style="SlicerStyleOther1" rowHeight="241300"/>
  <slicer name="Type 1" xr10:uid="{87A6D5FA-6941-4741-A1EB-520D8EEAED1B}" cache="Slicer_Type" caption="Type" style="SlicerStyleOther1" rowHeight="241300"/>
  <slicer name="Payment Method 1" xr10:uid="{B6CF27DF-ED32-4F0E-8984-E175A0588403}" cache="Slicer_Payment_Method" caption="Payment Method" style="SlicerStyleOther1" rowHeight="241300"/>
  <slicer name="Months (Date) 1" xr10:uid="{92A18039-5035-4973-B020-7210872AFC32}" cache="Slicer_Months__Date" caption="Months (Date)"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FA95E4-C579-493A-A432-0FB2FC4AD8D6}" cache="Slicer_Category" caption="Category" style="SlicerStyleOther1" rowHeight="241300"/>
  <slicer name="Type" xr10:uid="{ABDB203A-D240-4E51-8BAC-860BC4D72CD4}" cache="Slicer_Type" caption="Type" style="SlicerStyleOther1" rowHeight="241300"/>
  <slicer name="Payment Method" xr10:uid="{79C33105-0C50-4745-8EC7-D9BAC1C93C16}" cache="Slicer_Payment_Method" caption="Payment Method" style="SlicerStyleOther1" rowHeight="241300"/>
  <slicer name="Months (Date)" xr10:uid="{AB91B83B-769E-4F3B-A248-E47411856C9D}" cache="Slicer_Months__Date" caption="Months (Dat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8FD6F6-0B16-4F38-A24E-7EDDED702EAA}" name="Table245" displayName="Table245" ref="A17:E18" totalsRowShown="0" headerRowDxfId="23" dataDxfId="21" headerRowBorderDxfId="22" tableBorderDxfId="20" totalsRowBorderDxfId="19">
  <autoFilter ref="A17:E18" xr:uid="{268FD6F6-0B16-4F38-A24E-7EDDED702EAA}"/>
  <tableColumns count="5">
    <tableColumn id="1" xr3:uid="{A9271BCE-A60A-4C5F-9C4C-88A76D92BB34}" name="Total Income" dataDxfId="18" dataCellStyle="Comma">
      <calculatedColumnFormula>SUMIFS(SpendingData[Amount],SpendingData[Type],"income")</calculatedColumnFormula>
    </tableColumn>
    <tableColumn id="2" xr3:uid="{F49D1133-E9A4-4BD0-819C-04C584346567}" name="Total Expense" dataDxfId="17" dataCellStyle="Comma">
      <calculatedColumnFormula>SUMIFS(SpendingData[Amount],SpendingData[Type],"expense")</calculatedColumnFormula>
    </tableColumn>
    <tableColumn id="3" xr3:uid="{0F118DE0-2952-49A4-9323-423B747A3F59}" name="Net Savings" dataDxfId="16">
      <calculatedColumnFormula>A18-B18</calculatedColumnFormula>
    </tableColumn>
    <tableColumn id="4" xr3:uid="{C93C806C-338A-4BF1-A93E-84AA89955BB2}" name="Savings Rate" dataDxfId="15" dataCellStyle="Percent">
      <calculatedColumnFormula>C18/A18</calculatedColumnFormula>
    </tableColumn>
    <tableColumn id="5" xr3:uid="{B0A08E82-4EFF-41C8-857E-4921D20C053D}" name="Highest Spending Category" dataDxfId="14">
      <calculatedColumnFormula>INDEX(SpendingData[Category],MATCH(_xlfn.MAXIFS(SpendingData[Amount],SpendingData[Type],"Expense"),SpendingData[Amount],0))</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188124-5654-4D28-A65F-B2DFA32B3420}" name="Table24" displayName="Table24" ref="A50:E51" totalsRowShown="0" headerRowDxfId="33" dataDxfId="31" headerRowBorderDxfId="32" tableBorderDxfId="30" totalsRowBorderDxfId="29">
  <autoFilter ref="A50:E51" xr:uid="{7C188124-5654-4D28-A65F-B2DFA32B3420}"/>
  <tableColumns count="5">
    <tableColumn id="1" xr3:uid="{C9C54713-6DE6-4DAD-B532-28806C67E67A}" name="Total Income" dataDxfId="28" dataCellStyle="Comma">
      <calculatedColumnFormula>SUMIFS(SpendingData[Amount],SpendingData[Type],"income")</calculatedColumnFormula>
    </tableColumn>
    <tableColumn id="2" xr3:uid="{8CC30344-C9CC-4B24-A3B6-776F85303D76}" name="Total Expense" dataDxfId="27" dataCellStyle="Comma">
      <calculatedColumnFormula>SUMIFS(SpendingData[Amount],SpendingData[Type],"expense")</calculatedColumnFormula>
    </tableColumn>
    <tableColumn id="3" xr3:uid="{2685F252-0D43-44A1-82AA-B190B492D800}" name="Net Savings" dataDxfId="26">
      <calculatedColumnFormula>A51-B51</calculatedColumnFormula>
    </tableColumn>
    <tableColumn id="4" xr3:uid="{C5D4B14B-44F3-4572-8F2F-61047BEFE76F}" name="Savings Rate" dataDxfId="25" dataCellStyle="Percent">
      <calculatedColumnFormula>C51/A51</calculatedColumnFormula>
    </tableColumn>
    <tableColumn id="5" xr3:uid="{69E933E3-BABA-4621-A3E2-7F562EF7CEFA}" name="Highest Spending Category" dataDxfId="24">
      <calculatedColumnFormula>INDEX(SpendingData[Category],MATCH(_xlfn.MAXIFS(SpendingData[Amount],SpendingData[Type],"Expense"),SpendingData[Amount],0))</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4C6E9A-C31B-476C-B710-4D2B949B63E1}" name="SpendingData" displayName="SpendingData" ref="A1:F572" totalsRowShown="0" headerRowDxfId="13" headerRowBorderDxfId="12" tableBorderDxfId="11">
  <autoFilter ref="A1:F572" xr:uid="{534C6E9A-C31B-476C-B710-4D2B949B63E1}"/>
  <tableColumns count="6">
    <tableColumn id="1" xr3:uid="{3B26FADA-75F0-4BD7-9324-D66B766A1E1E}" name="Date" dataDxfId="10"/>
    <tableColumn id="2" xr3:uid="{4A36A26A-48E8-439B-9BBA-5F98E4EF84A2}" name="Category"/>
    <tableColumn id="3" xr3:uid="{4995F06A-1892-4C6B-8016-B580256CD815}" name="Description"/>
    <tableColumn id="4" xr3:uid="{FE6D22A2-E91F-4860-9F68-97243A6FFC10}" name="Amount"/>
    <tableColumn id="5" xr3:uid="{13CEB19B-BF82-4D1D-BFE2-D499A48CD3E8}" name="Type"/>
    <tableColumn id="6" xr3:uid="{BFAE128D-8925-416D-88C0-62CA41E98553}" name="Payment Method"/>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4E6E61-AF1C-439D-955D-B9BE993D9401}" name="Table2" displayName="Table2" ref="A1:E2" totalsRowShown="0" headerRowDxfId="9" dataDxfId="7" headerRowBorderDxfId="8" tableBorderDxfId="6" totalsRowBorderDxfId="5">
  <autoFilter ref="A1:E2" xr:uid="{1A4E6E61-AF1C-439D-955D-B9BE993D9401}"/>
  <tableColumns count="5">
    <tableColumn id="1" xr3:uid="{27940BA6-1EF6-45A9-8160-C9F3BCECC78B}" name="Total Income" dataDxfId="4" dataCellStyle="Comma">
      <calculatedColumnFormula>SUMIFS(SpendingData[Amount],SpendingData[Type],"income")</calculatedColumnFormula>
    </tableColumn>
    <tableColumn id="2" xr3:uid="{41968762-6260-4794-8595-28F778840099}" name="Total Expense" dataDxfId="3" dataCellStyle="Comma">
      <calculatedColumnFormula>SUMIFS(SpendingData[Amount],SpendingData[Type],"expense")</calculatedColumnFormula>
    </tableColumn>
    <tableColumn id="3" xr3:uid="{15FCBB99-58E6-44A5-8534-8292BF502A45}" name="Net Savings" dataDxfId="2">
      <calculatedColumnFormula>A2-B2</calculatedColumnFormula>
    </tableColumn>
    <tableColumn id="4" xr3:uid="{1DE6D9C6-8234-4AB9-8D37-B7ACFC42C93D}" name="Savings Rate" dataDxfId="1" dataCellStyle="Percent">
      <calculatedColumnFormula>C2/A2</calculatedColumnFormula>
    </tableColumn>
    <tableColumn id="5" xr3:uid="{FBC9CD1C-34E3-4438-918F-3C74C60B862C}" name="Highest Spending Category" dataDxfId="0">
      <calculatedColumnFormula>INDEX(SpendingData[Category],MATCH(_xlfn.MAXIFS(SpendingData[Amount],SpendingData[Type],"Expense"),SpendingData[Amount],0))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631E-A7C7-4562-8656-D26F96594725}">
  <dimension ref="A1:F18"/>
  <sheetViews>
    <sheetView showGridLines="0" tabSelected="1" view="pageBreakPreview" zoomScale="60" zoomScaleNormal="100" workbookViewId="0">
      <selection activeCell="F20" sqref="F20"/>
    </sheetView>
  </sheetViews>
  <sheetFormatPr defaultRowHeight="14.5" x14ac:dyDescent="0.35"/>
  <cols>
    <col min="1" max="1" width="16.26953125" customWidth="1"/>
    <col min="2" max="2" width="19.1796875" customWidth="1"/>
    <col min="3" max="3" width="15.6328125" customWidth="1"/>
    <col min="4" max="4" width="15.54296875" customWidth="1"/>
    <col min="5" max="5" width="24.26953125" customWidth="1"/>
  </cols>
  <sheetData>
    <row r="1" spans="1:6" x14ac:dyDescent="0.35">
      <c r="A1" s="14" t="s">
        <v>73</v>
      </c>
      <c r="B1" s="14"/>
      <c r="C1" s="14"/>
      <c r="D1" s="14"/>
      <c r="E1" s="14"/>
      <c r="F1" s="14"/>
    </row>
    <row r="17" spans="1:5" x14ac:dyDescent="0.35">
      <c r="A17" s="6" t="s">
        <v>53</v>
      </c>
      <c r="B17" s="7" t="s">
        <v>54</v>
      </c>
      <c r="C17" s="7" t="s">
        <v>55</v>
      </c>
      <c r="D17" s="7" t="s">
        <v>56</v>
      </c>
      <c r="E17" s="8" t="s">
        <v>57</v>
      </c>
    </row>
    <row r="18" spans="1:5" x14ac:dyDescent="0.35">
      <c r="A18" s="9">
        <f>SUMIFS(SpendingData[Amount],SpendingData[Type],"income")</f>
        <v>67386</v>
      </c>
      <c r="B18" s="10">
        <f>SUMIFS(SpendingData[Amount],SpendingData[Type],"expense")</f>
        <v>136638</v>
      </c>
      <c r="C18" s="11">
        <f>A18-B18</f>
        <v>-69252</v>
      </c>
      <c r="D18" s="12">
        <f>C18/A18</f>
        <v>-1.0276912118244146</v>
      </c>
      <c r="E18" s="13" t="str">
        <f>INDEX(SpendingData[Category],MATCH(_xlfn.MAXIFS(SpendingData[Amount],SpendingData[Type],"Expense"),SpendingData[Amount],0))</f>
        <v>Groceries</v>
      </c>
    </row>
  </sheetData>
  <mergeCells count="1">
    <mergeCell ref="A1:F1"/>
  </mergeCells>
  <conditionalFormatting sqref="A17:E18">
    <cfRule type="iconSet" priority="1">
      <iconSet iconSet="4Arrows">
        <cfvo type="percent" val="0"/>
        <cfvo type="percent" val="25"/>
        <cfvo type="percent" val="50"/>
        <cfvo type="percent" val="75"/>
      </iconSet>
    </cfRule>
  </conditionalFormatting>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2"/>
  <sheetViews>
    <sheetView topLeftCell="A141" workbookViewId="0">
      <selection activeCell="C1" sqref="C1"/>
    </sheetView>
  </sheetViews>
  <sheetFormatPr defaultRowHeight="14.5" x14ac:dyDescent="0.35"/>
  <cols>
    <col min="1" max="1" width="22.54296875" customWidth="1"/>
  </cols>
  <sheetData>
    <row r="1" spans="1:6" x14ac:dyDescent="0.35">
      <c r="A1" s="1" t="s">
        <v>0</v>
      </c>
      <c r="B1" s="1" t="s">
        <v>1</v>
      </c>
      <c r="C1" s="1" t="s">
        <v>2</v>
      </c>
      <c r="D1" s="1" t="s">
        <v>3</v>
      </c>
      <c r="E1" s="1" t="s">
        <v>4</v>
      </c>
      <c r="F1" s="1" t="s">
        <v>5</v>
      </c>
    </row>
    <row r="2" spans="1:6" x14ac:dyDescent="0.35">
      <c r="A2" s="2">
        <v>45292</v>
      </c>
      <c r="B2" t="s">
        <v>6</v>
      </c>
      <c r="C2" t="s">
        <v>19</v>
      </c>
      <c r="D2">
        <v>25</v>
      </c>
      <c r="E2" t="s">
        <v>47</v>
      </c>
      <c r="F2" t="s">
        <v>49</v>
      </c>
    </row>
    <row r="3" spans="1:6" x14ac:dyDescent="0.35">
      <c r="A3" s="2">
        <v>45293</v>
      </c>
      <c r="B3" t="s">
        <v>6</v>
      </c>
      <c r="C3" t="s">
        <v>19</v>
      </c>
      <c r="D3">
        <v>104</v>
      </c>
      <c r="E3" t="s">
        <v>47</v>
      </c>
      <c r="F3" t="s">
        <v>50</v>
      </c>
    </row>
    <row r="4" spans="1:6" x14ac:dyDescent="0.35">
      <c r="A4" s="2">
        <v>45294</v>
      </c>
      <c r="B4" t="s">
        <v>7</v>
      </c>
      <c r="C4" t="s">
        <v>20</v>
      </c>
      <c r="D4">
        <v>348</v>
      </c>
      <c r="E4" t="s">
        <v>47</v>
      </c>
      <c r="F4" t="s">
        <v>50</v>
      </c>
    </row>
    <row r="5" spans="1:6" x14ac:dyDescent="0.35">
      <c r="A5" s="2">
        <v>45294</v>
      </c>
      <c r="B5" t="s">
        <v>8</v>
      </c>
      <c r="C5" t="s">
        <v>21</v>
      </c>
      <c r="D5">
        <v>196</v>
      </c>
      <c r="E5" t="s">
        <v>47</v>
      </c>
      <c r="F5" t="s">
        <v>50</v>
      </c>
    </row>
    <row r="6" spans="1:6" x14ac:dyDescent="0.35">
      <c r="A6" s="2">
        <v>45295</v>
      </c>
      <c r="B6" t="s">
        <v>9</v>
      </c>
      <c r="C6" t="s">
        <v>22</v>
      </c>
      <c r="D6">
        <v>257</v>
      </c>
      <c r="E6" t="s">
        <v>47</v>
      </c>
      <c r="F6" t="s">
        <v>50</v>
      </c>
    </row>
    <row r="7" spans="1:6" x14ac:dyDescent="0.35">
      <c r="A7" s="2">
        <v>45295</v>
      </c>
      <c r="B7" t="s">
        <v>10</v>
      </c>
      <c r="C7" t="s">
        <v>23</v>
      </c>
      <c r="D7">
        <v>479</v>
      </c>
      <c r="E7" t="s">
        <v>47</v>
      </c>
      <c r="F7" t="s">
        <v>49</v>
      </c>
    </row>
    <row r="8" spans="1:6" x14ac:dyDescent="0.35">
      <c r="A8" s="2">
        <v>45296</v>
      </c>
      <c r="B8" t="s">
        <v>11</v>
      </c>
      <c r="C8" t="s">
        <v>24</v>
      </c>
      <c r="D8">
        <v>248</v>
      </c>
      <c r="E8" t="s">
        <v>47</v>
      </c>
      <c r="F8" t="s">
        <v>50</v>
      </c>
    </row>
    <row r="9" spans="1:6" x14ac:dyDescent="0.35">
      <c r="A9" s="2">
        <v>45296</v>
      </c>
      <c r="B9" t="s">
        <v>10</v>
      </c>
      <c r="C9" t="s">
        <v>23</v>
      </c>
      <c r="D9">
        <v>489</v>
      </c>
      <c r="E9" t="s">
        <v>47</v>
      </c>
      <c r="F9" t="s">
        <v>49</v>
      </c>
    </row>
    <row r="10" spans="1:6" x14ac:dyDescent="0.35">
      <c r="A10" s="2">
        <v>45297</v>
      </c>
      <c r="B10" t="s">
        <v>12</v>
      </c>
      <c r="C10" t="s">
        <v>25</v>
      </c>
      <c r="D10">
        <v>392</v>
      </c>
      <c r="E10" t="s">
        <v>47</v>
      </c>
      <c r="F10" t="s">
        <v>51</v>
      </c>
    </row>
    <row r="11" spans="1:6" x14ac:dyDescent="0.35">
      <c r="A11" s="2">
        <v>45298</v>
      </c>
      <c r="B11" t="s">
        <v>9</v>
      </c>
      <c r="C11" t="s">
        <v>26</v>
      </c>
      <c r="D11">
        <v>350</v>
      </c>
      <c r="E11" t="s">
        <v>47</v>
      </c>
      <c r="F11" t="s">
        <v>51</v>
      </c>
    </row>
    <row r="12" spans="1:6" x14ac:dyDescent="0.35">
      <c r="A12" s="2">
        <v>45298</v>
      </c>
      <c r="B12" t="s">
        <v>13</v>
      </c>
      <c r="C12" t="s">
        <v>27</v>
      </c>
      <c r="D12">
        <v>344</v>
      </c>
      <c r="E12" t="s">
        <v>47</v>
      </c>
      <c r="F12" t="s">
        <v>50</v>
      </c>
    </row>
    <row r="13" spans="1:6" x14ac:dyDescent="0.35">
      <c r="A13" s="2">
        <v>45299</v>
      </c>
      <c r="B13" t="s">
        <v>6</v>
      </c>
      <c r="C13" t="s">
        <v>19</v>
      </c>
      <c r="D13">
        <v>39</v>
      </c>
      <c r="E13" t="s">
        <v>47</v>
      </c>
      <c r="F13" t="s">
        <v>52</v>
      </c>
    </row>
    <row r="14" spans="1:6" x14ac:dyDescent="0.35">
      <c r="A14" s="2">
        <v>45300</v>
      </c>
      <c r="B14" t="s">
        <v>6</v>
      </c>
      <c r="C14" t="s">
        <v>28</v>
      </c>
      <c r="D14">
        <v>6</v>
      </c>
      <c r="E14" t="s">
        <v>47</v>
      </c>
      <c r="F14" t="s">
        <v>52</v>
      </c>
    </row>
    <row r="15" spans="1:6" x14ac:dyDescent="0.35">
      <c r="A15" s="2">
        <v>45300</v>
      </c>
      <c r="B15" t="s">
        <v>8</v>
      </c>
      <c r="C15" t="s">
        <v>21</v>
      </c>
      <c r="D15">
        <v>110</v>
      </c>
      <c r="E15" t="s">
        <v>47</v>
      </c>
      <c r="F15" t="s">
        <v>50</v>
      </c>
    </row>
    <row r="16" spans="1:6" x14ac:dyDescent="0.35">
      <c r="A16" s="2">
        <v>45301</v>
      </c>
      <c r="B16" t="s">
        <v>13</v>
      </c>
      <c r="C16" t="s">
        <v>27</v>
      </c>
      <c r="D16">
        <v>222</v>
      </c>
      <c r="E16" t="s">
        <v>47</v>
      </c>
      <c r="F16" t="s">
        <v>50</v>
      </c>
    </row>
    <row r="17" spans="1:6" x14ac:dyDescent="0.35">
      <c r="A17" s="2">
        <v>45302</v>
      </c>
      <c r="B17" t="s">
        <v>14</v>
      </c>
      <c r="C17" t="s">
        <v>29</v>
      </c>
      <c r="D17">
        <v>355</v>
      </c>
      <c r="E17" t="s">
        <v>47</v>
      </c>
      <c r="F17" t="s">
        <v>50</v>
      </c>
    </row>
    <row r="18" spans="1:6" x14ac:dyDescent="0.35">
      <c r="A18" s="2">
        <v>45302</v>
      </c>
      <c r="B18" t="s">
        <v>6</v>
      </c>
      <c r="C18" t="s">
        <v>28</v>
      </c>
      <c r="D18">
        <v>219</v>
      </c>
      <c r="E18" t="s">
        <v>47</v>
      </c>
      <c r="F18" t="s">
        <v>50</v>
      </c>
    </row>
    <row r="19" spans="1:6" x14ac:dyDescent="0.35">
      <c r="A19" s="2">
        <v>45303</v>
      </c>
      <c r="B19" t="s">
        <v>15</v>
      </c>
      <c r="C19" t="s">
        <v>30</v>
      </c>
      <c r="D19">
        <v>837</v>
      </c>
      <c r="E19" t="s">
        <v>48</v>
      </c>
      <c r="F19" t="s">
        <v>49</v>
      </c>
    </row>
    <row r="20" spans="1:6" x14ac:dyDescent="0.35">
      <c r="A20" s="2">
        <v>45303</v>
      </c>
      <c r="B20" t="s">
        <v>6</v>
      </c>
      <c r="C20" t="s">
        <v>28</v>
      </c>
      <c r="D20">
        <v>221</v>
      </c>
      <c r="E20" t="s">
        <v>47</v>
      </c>
      <c r="F20" t="s">
        <v>50</v>
      </c>
    </row>
    <row r="21" spans="1:6" x14ac:dyDescent="0.35">
      <c r="A21" s="2">
        <v>45304</v>
      </c>
      <c r="B21" t="s">
        <v>10</v>
      </c>
      <c r="C21" t="s">
        <v>23</v>
      </c>
      <c r="D21">
        <v>19</v>
      </c>
      <c r="E21" t="s">
        <v>47</v>
      </c>
      <c r="F21" t="s">
        <v>51</v>
      </c>
    </row>
    <row r="22" spans="1:6" x14ac:dyDescent="0.35">
      <c r="A22" s="2">
        <v>45305</v>
      </c>
      <c r="B22" t="s">
        <v>16</v>
      </c>
      <c r="C22" t="s">
        <v>31</v>
      </c>
      <c r="D22">
        <v>1867</v>
      </c>
      <c r="E22" t="s">
        <v>48</v>
      </c>
      <c r="F22" t="s">
        <v>51</v>
      </c>
    </row>
    <row r="23" spans="1:6" x14ac:dyDescent="0.35">
      <c r="A23" s="2">
        <v>45305</v>
      </c>
      <c r="B23" t="s">
        <v>6</v>
      </c>
      <c r="C23" t="s">
        <v>28</v>
      </c>
      <c r="D23">
        <v>67</v>
      </c>
      <c r="E23" t="s">
        <v>47</v>
      </c>
      <c r="F23" t="s">
        <v>49</v>
      </c>
    </row>
    <row r="24" spans="1:6" x14ac:dyDescent="0.35">
      <c r="A24" s="2">
        <v>45305</v>
      </c>
      <c r="B24" t="s">
        <v>11</v>
      </c>
      <c r="C24" t="s">
        <v>32</v>
      </c>
      <c r="D24">
        <v>396</v>
      </c>
      <c r="E24" t="s">
        <v>47</v>
      </c>
      <c r="F24" t="s">
        <v>49</v>
      </c>
    </row>
    <row r="25" spans="1:6" x14ac:dyDescent="0.35">
      <c r="A25" s="2">
        <v>45306</v>
      </c>
      <c r="B25" t="s">
        <v>7</v>
      </c>
      <c r="C25" t="s">
        <v>20</v>
      </c>
      <c r="D25">
        <v>235</v>
      </c>
      <c r="E25" t="s">
        <v>47</v>
      </c>
      <c r="F25" t="s">
        <v>52</v>
      </c>
    </row>
    <row r="26" spans="1:6" x14ac:dyDescent="0.35">
      <c r="A26" s="2">
        <v>45307</v>
      </c>
      <c r="B26" t="s">
        <v>10</v>
      </c>
      <c r="C26" t="s">
        <v>33</v>
      </c>
      <c r="D26">
        <v>272</v>
      </c>
      <c r="E26" t="s">
        <v>47</v>
      </c>
      <c r="F26" t="s">
        <v>52</v>
      </c>
    </row>
    <row r="27" spans="1:6" x14ac:dyDescent="0.35">
      <c r="A27" s="2">
        <v>45308</v>
      </c>
      <c r="B27" t="s">
        <v>12</v>
      </c>
      <c r="C27" t="s">
        <v>25</v>
      </c>
      <c r="D27">
        <v>220</v>
      </c>
      <c r="E27" t="s">
        <v>47</v>
      </c>
      <c r="F27" t="s">
        <v>51</v>
      </c>
    </row>
    <row r="28" spans="1:6" x14ac:dyDescent="0.35">
      <c r="A28" s="2">
        <v>45309</v>
      </c>
      <c r="B28" t="s">
        <v>8</v>
      </c>
      <c r="C28" t="s">
        <v>34</v>
      </c>
      <c r="D28">
        <v>39</v>
      </c>
      <c r="E28" t="s">
        <v>47</v>
      </c>
      <c r="F28" t="s">
        <v>51</v>
      </c>
    </row>
    <row r="29" spans="1:6" x14ac:dyDescent="0.35">
      <c r="A29" s="2">
        <v>45309</v>
      </c>
      <c r="B29" t="s">
        <v>11</v>
      </c>
      <c r="C29" t="s">
        <v>32</v>
      </c>
      <c r="D29">
        <v>435</v>
      </c>
      <c r="E29" t="s">
        <v>47</v>
      </c>
      <c r="F29" t="s">
        <v>52</v>
      </c>
    </row>
    <row r="30" spans="1:6" x14ac:dyDescent="0.35">
      <c r="A30" s="2">
        <v>45310</v>
      </c>
      <c r="B30" t="s">
        <v>9</v>
      </c>
      <c r="C30" t="s">
        <v>26</v>
      </c>
      <c r="D30">
        <v>259</v>
      </c>
      <c r="E30" t="s">
        <v>47</v>
      </c>
      <c r="F30" t="s">
        <v>52</v>
      </c>
    </row>
    <row r="31" spans="1:6" x14ac:dyDescent="0.35">
      <c r="A31" s="2">
        <v>45311</v>
      </c>
      <c r="B31" t="s">
        <v>9</v>
      </c>
      <c r="C31" t="s">
        <v>22</v>
      </c>
      <c r="D31">
        <v>384</v>
      </c>
      <c r="E31" t="s">
        <v>47</v>
      </c>
      <c r="F31" t="s">
        <v>51</v>
      </c>
    </row>
    <row r="32" spans="1:6" x14ac:dyDescent="0.35">
      <c r="A32" s="2">
        <v>45312</v>
      </c>
      <c r="B32" t="s">
        <v>12</v>
      </c>
      <c r="C32" t="s">
        <v>35</v>
      </c>
      <c r="D32">
        <v>56</v>
      </c>
      <c r="E32" t="s">
        <v>47</v>
      </c>
      <c r="F32" t="s">
        <v>51</v>
      </c>
    </row>
    <row r="33" spans="1:6" x14ac:dyDescent="0.35">
      <c r="A33" s="2">
        <v>45312</v>
      </c>
      <c r="B33" t="s">
        <v>14</v>
      </c>
      <c r="C33" t="s">
        <v>29</v>
      </c>
      <c r="D33">
        <v>489</v>
      </c>
      <c r="E33" t="s">
        <v>47</v>
      </c>
      <c r="F33" t="s">
        <v>49</v>
      </c>
    </row>
    <row r="34" spans="1:6" x14ac:dyDescent="0.35">
      <c r="A34" s="2">
        <v>45313</v>
      </c>
      <c r="B34" t="s">
        <v>14</v>
      </c>
      <c r="C34" t="s">
        <v>36</v>
      </c>
      <c r="D34">
        <v>164</v>
      </c>
      <c r="E34" t="s">
        <v>47</v>
      </c>
      <c r="F34" t="s">
        <v>49</v>
      </c>
    </row>
    <row r="35" spans="1:6" x14ac:dyDescent="0.35">
      <c r="A35" s="2">
        <v>45314</v>
      </c>
      <c r="B35" t="s">
        <v>13</v>
      </c>
      <c r="C35" t="s">
        <v>27</v>
      </c>
      <c r="D35">
        <v>174</v>
      </c>
      <c r="E35" t="s">
        <v>47</v>
      </c>
      <c r="F35" t="s">
        <v>51</v>
      </c>
    </row>
    <row r="36" spans="1:6" x14ac:dyDescent="0.35">
      <c r="A36" s="2">
        <v>45314</v>
      </c>
      <c r="B36" t="s">
        <v>10</v>
      </c>
      <c r="C36" t="s">
        <v>23</v>
      </c>
      <c r="D36">
        <v>138</v>
      </c>
      <c r="E36" t="s">
        <v>47</v>
      </c>
      <c r="F36" t="s">
        <v>50</v>
      </c>
    </row>
    <row r="37" spans="1:6" x14ac:dyDescent="0.35">
      <c r="A37" s="2">
        <v>45315</v>
      </c>
      <c r="B37" t="s">
        <v>14</v>
      </c>
      <c r="C37" t="s">
        <v>29</v>
      </c>
      <c r="D37">
        <v>450</v>
      </c>
      <c r="E37" t="s">
        <v>47</v>
      </c>
      <c r="F37" t="s">
        <v>49</v>
      </c>
    </row>
    <row r="38" spans="1:6" x14ac:dyDescent="0.35">
      <c r="A38" s="2">
        <v>45315</v>
      </c>
      <c r="B38" t="s">
        <v>9</v>
      </c>
      <c r="C38" t="s">
        <v>26</v>
      </c>
      <c r="D38">
        <v>352</v>
      </c>
      <c r="E38" t="s">
        <v>47</v>
      </c>
      <c r="F38" t="s">
        <v>51</v>
      </c>
    </row>
    <row r="39" spans="1:6" x14ac:dyDescent="0.35">
      <c r="A39" s="2">
        <v>45316</v>
      </c>
      <c r="B39" t="s">
        <v>17</v>
      </c>
      <c r="C39" t="s">
        <v>37</v>
      </c>
      <c r="D39">
        <v>287</v>
      </c>
      <c r="E39" t="s">
        <v>47</v>
      </c>
      <c r="F39" t="s">
        <v>52</v>
      </c>
    </row>
    <row r="40" spans="1:6" x14ac:dyDescent="0.35">
      <c r="A40" s="2">
        <v>45317</v>
      </c>
      <c r="B40" t="s">
        <v>15</v>
      </c>
      <c r="C40" t="s">
        <v>38</v>
      </c>
      <c r="D40">
        <v>1782</v>
      </c>
      <c r="E40" t="s">
        <v>48</v>
      </c>
      <c r="F40" t="s">
        <v>49</v>
      </c>
    </row>
    <row r="41" spans="1:6" x14ac:dyDescent="0.35">
      <c r="A41" s="2">
        <v>45317</v>
      </c>
      <c r="B41" t="s">
        <v>6</v>
      </c>
      <c r="C41" t="s">
        <v>19</v>
      </c>
      <c r="D41">
        <v>141</v>
      </c>
      <c r="E41" t="s">
        <v>47</v>
      </c>
      <c r="F41" t="s">
        <v>52</v>
      </c>
    </row>
    <row r="42" spans="1:6" x14ac:dyDescent="0.35">
      <c r="A42" s="2">
        <v>45317</v>
      </c>
      <c r="B42" t="s">
        <v>7</v>
      </c>
      <c r="C42" t="s">
        <v>39</v>
      </c>
      <c r="D42">
        <v>311</v>
      </c>
      <c r="E42" t="s">
        <v>47</v>
      </c>
      <c r="F42" t="s">
        <v>52</v>
      </c>
    </row>
    <row r="43" spans="1:6" x14ac:dyDescent="0.35">
      <c r="A43" s="2">
        <v>45318</v>
      </c>
      <c r="B43" t="s">
        <v>8</v>
      </c>
      <c r="C43" t="s">
        <v>21</v>
      </c>
      <c r="D43">
        <v>100</v>
      </c>
      <c r="E43" t="s">
        <v>47</v>
      </c>
      <c r="F43" t="s">
        <v>50</v>
      </c>
    </row>
    <row r="44" spans="1:6" x14ac:dyDescent="0.35">
      <c r="A44" s="2">
        <v>45319</v>
      </c>
      <c r="B44" t="s">
        <v>17</v>
      </c>
      <c r="C44" t="s">
        <v>40</v>
      </c>
      <c r="D44">
        <v>56</v>
      </c>
      <c r="E44" t="s">
        <v>47</v>
      </c>
      <c r="F44" t="s">
        <v>50</v>
      </c>
    </row>
    <row r="45" spans="1:6" x14ac:dyDescent="0.35">
      <c r="A45" s="2">
        <v>45320</v>
      </c>
      <c r="B45" t="s">
        <v>11</v>
      </c>
      <c r="C45" t="s">
        <v>32</v>
      </c>
      <c r="D45">
        <v>105</v>
      </c>
      <c r="E45" t="s">
        <v>47</v>
      </c>
      <c r="F45" t="s">
        <v>51</v>
      </c>
    </row>
    <row r="46" spans="1:6" x14ac:dyDescent="0.35">
      <c r="A46" s="2">
        <v>45320</v>
      </c>
      <c r="B46" t="s">
        <v>6</v>
      </c>
      <c r="C46" t="s">
        <v>19</v>
      </c>
      <c r="D46">
        <v>191</v>
      </c>
      <c r="E46" t="s">
        <v>47</v>
      </c>
      <c r="F46" t="s">
        <v>51</v>
      </c>
    </row>
    <row r="47" spans="1:6" x14ac:dyDescent="0.35">
      <c r="A47" s="2">
        <v>45321</v>
      </c>
      <c r="B47" t="s">
        <v>8</v>
      </c>
      <c r="C47" t="s">
        <v>34</v>
      </c>
      <c r="D47">
        <v>489</v>
      </c>
      <c r="E47" t="s">
        <v>47</v>
      </c>
      <c r="F47" t="s">
        <v>50</v>
      </c>
    </row>
    <row r="48" spans="1:6" x14ac:dyDescent="0.35">
      <c r="A48" s="2">
        <v>45321</v>
      </c>
      <c r="B48" t="s">
        <v>17</v>
      </c>
      <c r="C48" t="s">
        <v>37</v>
      </c>
      <c r="D48">
        <v>407</v>
      </c>
      <c r="E48" t="s">
        <v>47</v>
      </c>
      <c r="F48" t="s">
        <v>52</v>
      </c>
    </row>
    <row r="49" spans="1:6" x14ac:dyDescent="0.35">
      <c r="A49" s="2">
        <v>45322</v>
      </c>
      <c r="B49" t="s">
        <v>9</v>
      </c>
      <c r="C49" t="s">
        <v>22</v>
      </c>
      <c r="D49">
        <v>202</v>
      </c>
      <c r="E49" t="s">
        <v>47</v>
      </c>
      <c r="F49" t="s">
        <v>50</v>
      </c>
    </row>
    <row r="50" spans="1:6" x14ac:dyDescent="0.35">
      <c r="A50" s="2">
        <v>45322</v>
      </c>
      <c r="B50" t="s">
        <v>12</v>
      </c>
      <c r="C50" t="s">
        <v>25</v>
      </c>
      <c r="D50">
        <v>443</v>
      </c>
      <c r="E50" t="s">
        <v>47</v>
      </c>
      <c r="F50" t="s">
        <v>49</v>
      </c>
    </row>
    <row r="51" spans="1:6" x14ac:dyDescent="0.35">
      <c r="A51" s="2">
        <v>45323</v>
      </c>
      <c r="B51" t="s">
        <v>8</v>
      </c>
      <c r="C51" t="s">
        <v>21</v>
      </c>
      <c r="D51">
        <v>329</v>
      </c>
      <c r="E51" t="s">
        <v>47</v>
      </c>
      <c r="F51" t="s">
        <v>50</v>
      </c>
    </row>
    <row r="52" spans="1:6" x14ac:dyDescent="0.35">
      <c r="A52" s="2">
        <v>45324</v>
      </c>
      <c r="B52" t="s">
        <v>17</v>
      </c>
      <c r="C52" t="s">
        <v>37</v>
      </c>
      <c r="D52">
        <v>128</v>
      </c>
      <c r="E52" t="s">
        <v>47</v>
      </c>
      <c r="F52" t="s">
        <v>49</v>
      </c>
    </row>
    <row r="53" spans="1:6" x14ac:dyDescent="0.35">
      <c r="A53" s="2">
        <v>45324</v>
      </c>
      <c r="B53" t="s">
        <v>8</v>
      </c>
      <c r="C53" t="s">
        <v>21</v>
      </c>
      <c r="D53">
        <v>353</v>
      </c>
      <c r="E53" t="s">
        <v>47</v>
      </c>
      <c r="F53" t="s">
        <v>49</v>
      </c>
    </row>
    <row r="54" spans="1:6" x14ac:dyDescent="0.35">
      <c r="A54" s="2">
        <v>45325</v>
      </c>
      <c r="B54" t="s">
        <v>14</v>
      </c>
      <c r="C54" t="s">
        <v>41</v>
      </c>
      <c r="D54">
        <v>350</v>
      </c>
      <c r="E54" t="s">
        <v>47</v>
      </c>
      <c r="F54" t="s">
        <v>49</v>
      </c>
    </row>
    <row r="55" spans="1:6" x14ac:dyDescent="0.35">
      <c r="A55" s="2">
        <v>45326</v>
      </c>
      <c r="B55" t="s">
        <v>12</v>
      </c>
      <c r="C55" t="s">
        <v>25</v>
      </c>
      <c r="D55">
        <v>493</v>
      </c>
      <c r="E55" t="s">
        <v>47</v>
      </c>
      <c r="F55" t="s">
        <v>51</v>
      </c>
    </row>
    <row r="56" spans="1:6" x14ac:dyDescent="0.35">
      <c r="A56" s="2">
        <v>45326</v>
      </c>
      <c r="B56" t="s">
        <v>6</v>
      </c>
      <c r="C56" t="s">
        <v>28</v>
      </c>
      <c r="D56">
        <v>43</v>
      </c>
      <c r="E56" t="s">
        <v>47</v>
      </c>
      <c r="F56" t="s">
        <v>52</v>
      </c>
    </row>
    <row r="57" spans="1:6" x14ac:dyDescent="0.35">
      <c r="A57" s="2">
        <v>45327</v>
      </c>
      <c r="B57" t="s">
        <v>10</v>
      </c>
      <c r="C57" t="s">
        <v>23</v>
      </c>
      <c r="D57">
        <v>438</v>
      </c>
      <c r="E57" t="s">
        <v>47</v>
      </c>
      <c r="F57" t="s">
        <v>49</v>
      </c>
    </row>
    <row r="58" spans="1:6" x14ac:dyDescent="0.35">
      <c r="A58" s="2">
        <v>45328</v>
      </c>
      <c r="B58" t="s">
        <v>11</v>
      </c>
      <c r="C58" t="s">
        <v>24</v>
      </c>
      <c r="D58">
        <v>256</v>
      </c>
      <c r="E58" t="s">
        <v>47</v>
      </c>
      <c r="F58" t="s">
        <v>50</v>
      </c>
    </row>
    <row r="59" spans="1:6" x14ac:dyDescent="0.35">
      <c r="A59" s="2">
        <v>45328</v>
      </c>
      <c r="B59" t="s">
        <v>9</v>
      </c>
      <c r="C59" t="s">
        <v>22</v>
      </c>
      <c r="D59">
        <v>64</v>
      </c>
      <c r="E59" t="s">
        <v>47</v>
      </c>
      <c r="F59" t="s">
        <v>51</v>
      </c>
    </row>
    <row r="60" spans="1:6" x14ac:dyDescent="0.35">
      <c r="A60" s="2">
        <v>45329</v>
      </c>
      <c r="B60" t="s">
        <v>7</v>
      </c>
      <c r="C60" t="s">
        <v>39</v>
      </c>
      <c r="D60">
        <v>164</v>
      </c>
      <c r="E60" t="s">
        <v>47</v>
      </c>
      <c r="F60" t="s">
        <v>49</v>
      </c>
    </row>
    <row r="61" spans="1:6" x14ac:dyDescent="0.35">
      <c r="A61" s="2">
        <v>45329</v>
      </c>
      <c r="B61" t="s">
        <v>12</v>
      </c>
      <c r="C61" t="s">
        <v>35</v>
      </c>
      <c r="D61">
        <v>237</v>
      </c>
      <c r="E61" t="s">
        <v>47</v>
      </c>
      <c r="F61" t="s">
        <v>49</v>
      </c>
    </row>
    <row r="62" spans="1:6" x14ac:dyDescent="0.35">
      <c r="A62" s="2">
        <v>45330</v>
      </c>
      <c r="B62" t="s">
        <v>11</v>
      </c>
      <c r="C62" t="s">
        <v>42</v>
      </c>
      <c r="D62">
        <v>124</v>
      </c>
      <c r="E62" t="s">
        <v>47</v>
      </c>
      <c r="F62" t="s">
        <v>51</v>
      </c>
    </row>
    <row r="63" spans="1:6" x14ac:dyDescent="0.35">
      <c r="A63" s="2">
        <v>45330</v>
      </c>
      <c r="B63" t="s">
        <v>6</v>
      </c>
      <c r="C63" t="s">
        <v>28</v>
      </c>
      <c r="D63">
        <v>79</v>
      </c>
      <c r="E63" t="s">
        <v>47</v>
      </c>
      <c r="F63" t="s">
        <v>51</v>
      </c>
    </row>
    <row r="64" spans="1:6" x14ac:dyDescent="0.35">
      <c r="A64" s="2">
        <v>45331</v>
      </c>
      <c r="B64" t="s">
        <v>6</v>
      </c>
      <c r="C64" t="s">
        <v>28</v>
      </c>
      <c r="D64">
        <v>258</v>
      </c>
      <c r="E64" t="s">
        <v>47</v>
      </c>
      <c r="F64" t="s">
        <v>49</v>
      </c>
    </row>
    <row r="65" spans="1:6" x14ac:dyDescent="0.35">
      <c r="A65" s="2">
        <v>45331</v>
      </c>
      <c r="B65" t="s">
        <v>10</v>
      </c>
      <c r="C65" t="s">
        <v>23</v>
      </c>
      <c r="D65">
        <v>157</v>
      </c>
      <c r="E65" t="s">
        <v>47</v>
      </c>
      <c r="F65" t="s">
        <v>51</v>
      </c>
    </row>
    <row r="66" spans="1:6" x14ac:dyDescent="0.35">
      <c r="A66" s="2">
        <v>45332</v>
      </c>
      <c r="B66" t="s">
        <v>13</v>
      </c>
      <c r="C66" t="s">
        <v>27</v>
      </c>
      <c r="D66">
        <v>198</v>
      </c>
      <c r="E66" t="s">
        <v>47</v>
      </c>
      <c r="F66" t="s">
        <v>52</v>
      </c>
    </row>
    <row r="67" spans="1:6" x14ac:dyDescent="0.35">
      <c r="A67" s="2">
        <v>45332</v>
      </c>
      <c r="B67" t="s">
        <v>11</v>
      </c>
      <c r="C67" t="s">
        <v>32</v>
      </c>
      <c r="D67">
        <v>173</v>
      </c>
      <c r="E67" t="s">
        <v>47</v>
      </c>
      <c r="F67" t="s">
        <v>50</v>
      </c>
    </row>
    <row r="68" spans="1:6" x14ac:dyDescent="0.35">
      <c r="A68" s="2">
        <v>45333</v>
      </c>
      <c r="B68" t="s">
        <v>7</v>
      </c>
      <c r="C68" t="s">
        <v>43</v>
      </c>
      <c r="D68">
        <v>199</v>
      </c>
      <c r="E68" t="s">
        <v>47</v>
      </c>
      <c r="F68" t="s">
        <v>51</v>
      </c>
    </row>
    <row r="69" spans="1:6" x14ac:dyDescent="0.35">
      <c r="A69" s="2">
        <v>45334</v>
      </c>
      <c r="B69" t="s">
        <v>11</v>
      </c>
      <c r="C69" t="s">
        <v>42</v>
      </c>
      <c r="D69">
        <v>379</v>
      </c>
      <c r="E69" t="s">
        <v>47</v>
      </c>
      <c r="F69" t="s">
        <v>52</v>
      </c>
    </row>
    <row r="70" spans="1:6" x14ac:dyDescent="0.35">
      <c r="A70" s="2">
        <v>45334</v>
      </c>
      <c r="B70" t="s">
        <v>8</v>
      </c>
      <c r="C70" t="s">
        <v>21</v>
      </c>
      <c r="D70">
        <v>369</v>
      </c>
      <c r="E70" t="s">
        <v>47</v>
      </c>
      <c r="F70" t="s">
        <v>49</v>
      </c>
    </row>
    <row r="71" spans="1:6" x14ac:dyDescent="0.35">
      <c r="A71" s="2">
        <v>45335</v>
      </c>
      <c r="B71" t="s">
        <v>13</v>
      </c>
      <c r="C71" t="s">
        <v>27</v>
      </c>
      <c r="D71">
        <v>281</v>
      </c>
      <c r="E71" t="s">
        <v>47</v>
      </c>
      <c r="F71" t="s">
        <v>52</v>
      </c>
    </row>
    <row r="72" spans="1:6" x14ac:dyDescent="0.35">
      <c r="A72" s="2">
        <v>45336</v>
      </c>
      <c r="B72" t="s">
        <v>17</v>
      </c>
      <c r="C72" t="s">
        <v>37</v>
      </c>
      <c r="D72">
        <v>321</v>
      </c>
      <c r="E72" t="s">
        <v>47</v>
      </c>
      <c r="F72" t="s">
        <v>50</v>
      </c>
    </row>
    <row r="73" spans="1:6" x14ac:dyDescent="0.35">
      <c r="A73" s="2">
        <v>45337</v>
      </c>
      <c r="B73" t="s">
        <v>17</v>
      </c>
      <c r="C73" t="s">
        <v>40</v>
      </c>
      <c r="D73">
        <v>21</v>
      </c>
      <c r="E73" t="s">
        <v>47</v>
      </c>
      <c r="F73" t="s">
        <v>50</v>
      </c>
    </row>
    <row r="74" spans="1:6" x14ac:dyDescent="0.35">
      <c r="A74" s="2">
        <v>45338</v>
      </c>
      <c r="B74" t="s">
        <v>7</v>
      </c>
      <c r="C74" t="s">
        <v>20</v>
      </c>
      <c r="D74">
        <v>103</v>
      </c>
      <c r="E74" t="s">
        <v>47</v>
      </c>
      <c r="F74" t="s">
        <v>50</v>
      </c>
    </row>
    <row r="75" spans="1:6" x14ac:dyDescent="0.35">
      <c r="A75" s="2">
        <v>45339</v>
      </c>
      <c r="B75" t="s">
        <v>15</v>
      </c>
      <c r="C75" t="s">
        <v>38</v>
      </c>
      <c r="D75">
        <v>801</v>
      </c>
      <c r="E75" t="s">
        <v>48</v>
      </c>
      <c r="F75" t="s">
        <v>51</v>
      </c>
    </row>
    <row r="76" spans="1:6" x14ac:dyDescent="0.35">
      <c r="A76" s="2">
        <v>45339</v>
      </c>
      <c r="B76" t="s">
        <v>11</v>
      </c>
      <c r="C76" t="s">
        <v>32</v>
      </c>
      <c r="D76">
        <v>120</v>
      </c>
      <c r="E76" t="s">
        <v>47</v>
      </c>
      <c r="F76" t="s">
        <v>49</v>
      </c>
    </row>
    <row r="77" spans="1:6" x14ac:dyDescent="0.35">
      <c r="A77" s="2">
        <v>45340</v>
      </c>
      <c r="B77" t="s">
        <v>12</v>
      </c>
      <c r="C77" t="s">
        <v>35</v>
      </c>
      <c r="D77">
        <v>260</v>
      </c>
      <c r="E77" t="s">
        <v>47</v>
      </c>
      <c r="F77" t="s">
        <v>49</v>
      </c>
    </row>
    <row r="78" spans="1:6" x14ac:dyDescent="0.35">
      <c r="A78" s="2">
        <v>45340</v>
      </c>
      <c r="B78" t="s">
        <v>13</v>
      </c>
      <c r="C78" t="s">
        <v>27</v>
      </c>
      <c r="D78">
        <v>285</v>
      </c>
      <c r="E78" t="s">
        <v>47</v>
      </c>
      <c r="F78" t="s">
        <v>52</v>
      </c>
    </row>
    <row r="79" spans="1:6" x14ac:dyDescent="0.35">
      <c r="A79" s="2">
        <v>45341</v>
      </c>
      <c r="B79" t="s">
        <v>11</v>
      </c>
      <c r="C79" t="s">
        <v>42</v>
      </c>
      <c r="D79">
        <v>284</v>
      </c>
      <c r="E79" t="s">
        <v>47</v>
      </c>
      <c r="F79" t="s">
        <v>52</v>
      </c>
    </row>
    <row r="80" spans="1:6" x14ac:dyDescent="0.35">
      <c r="A80" s="2">
        <v>45341</v>
      </c>
      <c r="B80" t="s">
        <v>8</v>
      </c>
      <c r="C80" t="s">
        <v>34</v>
      </c>
      <c r="D80">
        <v>454</v>
      </c>
      <c r="E80" t="s">
        <v>47</v>
      </c>
      <c r="F80" t="s">
        <v>49</v>
      </c>
    </row>
    <row r="81" spans="1:6" x14ac:dyDescent="0.35">
      <c r="A81" s="2">
        <v>45342</v>
      </c>
      <c r="B81" t="s">
        <v>9</v>
      </c>
      <c r="C81" t="s">
        <v>26</v>
      </c>
      <c r="D81">
        <v>108</v>
      </c>
      <c r="E81" t="s">
        <v>47</v>
      </c>
      <c r="F81" t="s">
        <v>51</v>
      </c>
    </row>
    <row r="82" spans="1:6" x14ac:dyDescent="0.35">
      <c r="A82" s="2">
        <v>45342</v>
      </c>
      <c r="B82" t="s">
        <v>10</v>
      </c>
      <c r="C82" t="s">
        <v>23</v>
      </c>
      <c r="D82">
        <v>250</v>
      </c>
      <c r="E82" t="s">
        <v>47</v>
      </c>
      <c r="F82" t="s">
        <v>50</v>
      </c>
    </row>
    <row r="83" spans="1:6" x14ac:dyDescent="0.35">
      <c r="A83" s="2">
        <v>45343</v>
      </c>
      <c r="B83" t="s">
        <v>12</v>
      </c>
      <c r="C83" t="s">
        <v>25</v>
      </c>
      <c r="D83">
        <v>359</v>
      </c>
      <c r="E83" t="s">
        <v>47</v>
      </c>
      <c r="F83" t="s">
        <v>52</v>
      </c>
    </row>
    <row r="84" spans="1:6" x14ac:dyDescent="0.35">
      <c r="A84" s="2">
        <v>45343</v>
      </c>
      <c r="B84" t="s">
        <v>10</v>
      </c>
      <c r="C84" t="s">
        <v>33</v>
      </c>
      <c r="D84">
        <v>17</v>
      </c>
      <c r="E84" t="s">
        <v>47</v>
      </c>
      <c r="F84" t="s">
        <v>50</v>
      </c>
    </row>
    <row r="85" spans="1:6" x14ac:dyDescent="0.35">
      <c r="A85" s="2">
        <v>45344</v>
      </c>
      <c r="B85" t="s">
        <v>14</v>
      </c>
      <c r="C85" t="s">
        <v>36</v>
      </c>
      <c r="D85">
        <v>24</v>
      </c>
      <c r="E85" t="s">
        <v>47</v>
      </c>
      <c r="F85" t="s">
        <v>51</v>
      </c>
    </row>
    <row r="86" spans="1:6" x14ac:dyDescent="0.35">
      <c r="A86" s="2">
        <v>45345</v>
      </c>
      <c r="B86" t="s">
        <v>18</v>
      </c>
      <c r="C86" t="s">
        <v>44</v>
      </c>
      <c r="D86">
        <v>3201</v>
      </c>
      <c r="E86" t="s">
        <v>48</v>
      </c>
      <c r="F86" t="s">
        <v>50</v>
      </c>
    </row>
    <row r="87" spans="1:6" x14ac:dyDescent="0.35">
      <c r="A87" s="2">
        <v>45345</v>
      </c>
      <c r="B87" t="s">
        <v>12</v>
      </c>
      <c r="C87" t="s">
        <v>35</v>
      </c>
      <c r="D87">
        <v>96</v>
      </c>
      <c r="E87" t="s">
        <v>47</v>
      </c>
      <c r="F87" t="s">
        <v>52</v>
      </c>
    </row>
    <row r="88" spans="1:6" x14ac:dyDescent="0.35">
      <c r="A88" s="2">
        <v>45346</v>
      </c>
      <c r="B88" t="s">
        <v>8</v>
      </c>
      <c r="C88" t="s">
        <v>34</v>
      </c>
      <c r="D88">
        <v>157</v>
      </c>
      <c r="E88" t="s">
        <v>47</v>
      </c>
      <c r="F88" t="s">
        <v>52</v>
      </c>
    </row>
    <row r="89" spans="1:6" x14ac:dyDescent="0.35">
      <c r="A89" s="2">
        <v>45347</v>
      </c>
      <c r="B89" t="s">
        <v>8</v>
      </c>
      <c r="C89" t="s">
        <v>21</v>
      </c>
      <c r="D89">
        <v>62</v>
      </c>
      <c r="E89" t="s">
        <v>47</v>
      </c>
      <c r="F89" t="s">
        <v>52</v>
      </c>
    </row>
    <row r="90" spans="1:6" x14ac:dyDescent="0.35">
      <c r="A90" s="2">
        <v>45348</v>
      </c>
      <c r="B90" t="s">
        <v>8</v>
      </c>
      <c r="C90" t="s">
        <v>34</v>
      </c>
      <c r="D90">
        <v>58</v>
      </c>
      <c r="E90" t="s">
        <v>47</v>
      </c>
      <c r="F90" t="s">
        <v>49</v>
      </c>
    </row>
    <row r="91" spans="1:6" x14ac:dyDescent="0.35">
      <c r="A91" s="2">
        <v>45348</v>
      </c>
      <c r="B91" t="s">
        <v>7</v>
      </c>
      <c r="C91" t="s">
        <v>39</v>
      </c>
      <c r="D91">
        <v>268</v>
      </c>
      <c r="E91" t="s">
        <v>47</v>
      </c>
      <c r="F91" t="s">
        <v>51</v>
      </c>
    </row>
    <row r="92" spans="1:6" x14ac:dyDescent="0.35">
      <c r="A92" s="2">
        <v>45349</v>
      </c>
      <c r="B92" t="s">
        <v>7</v>
      </c>
      <c r="C92" t="s">
        <v>43</v>
      </c>
      <c r="D92">
        <v>200</v>
      </c>
      <c r="E92" t="s">
        <v>47</v>
      </c>
      <c r="F92" t="s">
        <v>52</v>
      </c>
    </row>
    <row r="93" spans="1:6" x14ac:dyDescent="0.35">
      <c r="A93" s="2">
        <v>45349</v>
      </c>
      <c r="B93" t="s">
        <v>14</v>
      </c>
      <c r="C93" t="s">
        <v>29</v>
      </c>
      <c r="D93">
        <v>51</v>
      </c>
      <c r="E93" t="s">
        <v>47</v>
      </c>
      <c r="F93" t="s">
        <v>49</v>
      </c>
    </row>
    <row r="94" spans="1:6" x14ac:dyDescent="0.35">
      <c r="A94" s="2">
        <v>45350</v>
      </c>
      <c r="B94" t="s">
        <v>13</v>
      </c>
      <c r="C94" t="s">
        <v>27</v>
      </c>
      <c r="D94">
        <v>128</v>
      </c>
      <c r="E94" t="s">
        <v>47</v>
      </c>
      <c r="F94" t="s">
        <v>52</v>
      </c>
    </row>
    <row r="95" spans="1:6" x14ac:dyDescent="0.35">
      <c r="A95" s="2">
        <v>45350</v>
      </c>
      <c r="B95" t="s">
        <v>11</v>
      </c>
      <c r="C95" t="s">
        <v>32</v>
      </c>
      <c r="D95">
        <v>124</v>
      </c>
      <c r="E95" t="s">
        <v>47</v>
      </c>
      <c r="F95" t="s">
        <v>49</v>
      </c>
    </row>
    <row r="96" spans="1:6" x14ac:dyDescent="0.35">
      <c r="A96" s="2">
        <v>45351</v>
      </c>
      <c r="B96" t="s">
        <v>12</v>
      </c>
      <c r="C96" t="s">
        <v>25</v>
      </c>
      <c r="D96">
        <v>233</v>
      </c>
      <c r="E96" t="s">
        <v>47</v>
      </c>
      <c r="F96" t="s">
        <v>52</v>
      </c>
    </row>
    <row r="97" spans="1:6" x14ac:dyDescent="0.35">
      <c r="A97" s="2">
        <v>45351</v>
      </c>
      <c r="B97" t="s">
        <v>7</v>
      </c>
      <c r="C97" t="s">
        <v>20</v>
      </c>
      <c r="D97">
        <v>283</v>
      </c>
      <c r="E97" t="s">
        <v>47</v>
      </c>
      <c r="F97" t="s">
        <v>49</v>
      </c>
    </row>
    <row r="98" spans="1:6" x14ac:dyDescent="0.35">
      <c r="A98" s="2">
        <v>45352</v>
      </c>
      <c r="B98" t="s">
        <v>17</v>
      </c>
      <c r="C98" t="s">
        <v>40</v>
      </c>
      <c r="D98">
        <v>126</v>
      </c>
      <c r="E98" t="s">
        <v>47</v>
      </c>
      <c r="F98" t="s">
        <v>51</v>
      </c>
    </row>
    <row r="99" spans="1:6" x14ac:dyDescent="0.35">
      <c r="A99" s="2">
        <v>45353</v>
      </c>
      <c r="B99" t="s">
        <v>8</v>
      </c>
      <c r="C99" t="s">
        <v>21</v>
      </c>
      <c r="D99">
        <v>93</v>
      </c>
      <c r="E99" t="s">
        <v>47</v>
      </c>
      <c r="F99" t="s">
        <v>50</v>
      </c>
    </row>
    <row r="100" spans="1:6" x14ac:dyDescent="0.35">
      <c r="A100" s="2">
        <v>45353</v>
      </c>
      <c r="B100" t="s">
        <v>7</v>
      </c>
      <c r="C100" t="s">
        <v>39</v>
      </c>
      <c r="D100">
        <v>276</v>
      </c>
      <c r="E100" t="s">
        <v>47</v>
      </c>
      <c r="F100" t="s">
        <v>51</v>
      </c>
    </row>
    <row r="101" spans="1:6" x14ac:dyDescent="0.35">
      <c r="A101" s="2">
        <v>45354</v>
      </c>
      <c r="B101" t="s">
        <v>7</v>
      </c>
      <c r="C101" t="s">
        <v>20</v>
      </c>
      <c r="D101">
        <v>353</v>
      </c>
      <c r="E101" t="s">
        <v>47</v>
      </c>
      <c r="F101" t="s">
        <v>49</v>
      </c>
    </row>
    <row r="102" spans="1:6" x14ac:dyDescent="0.35">
      <c r="A102" s="2">
        <v>45355</v>
      </c>
      <c r="B102" t="s">
        <v>18</v>
      </c>
      <c r="C102" t="s">
        <v>44</v>
      </c>
      <c r="D102">
        <v>1496</v>
      </c>
      <c r="E102" t="s">
        <v>48</v>
      </c>
      <c r="F102" t="s">
        <v>52</v>
      </c>
    </row>
    <row r="103" spans="1:6" x14ac:dyDescent="0.35">
      <c r="A103" s="2">
        <v>45355</v>
      </c>
      <c r="B103" t="s">
        <v>7</v>
      </c>
      <c r="C103" t="s">
        <v>43</v>
      </c>
      <c r="D103">
        <v>98</v>
      </c>
      <c r="E103" t="s">
        <v>47</v>
      </c>
      <c r="F103" t="s">
        <v>52</v>
      </c>
    </row>
    <row r="104" spans="1:6" x14ac:dyDescent="0.35">
      <c r="A104" s="2">
        <v>45356</v>
      </c>
      <c r="B104" t="s">
        <v>9</v>
      </c>
      <c r="C104" t="s">
        <v>22</v>
      </c>
      <c r="D104">
        <v>436</v>
      </c>
      <c r="E104" t="s">
        <v>47</v>
      </c>
      <c r="F104" t="s">
        <v>51</v>
      </c>
    </row>
    <row r="105" spans="1:6" x14ac:dyDescent="0.35">
      <c r="A105" s="2">
        <v>45357</v>
      </c>
      <c r="B105" t="s">
        <v>7</v>
      </c>
      <c r="C105" t="s">
        <v>43</v>
      </c>
      <c r="D105">
        <v>254</v>
      </c>
      <c r="E105" t="s">
        <v>47</v>
      </c>
      <c r="F105" t="s">
        <v>52</v>
      </c>
    </row>
    <row r="106" spans="1:6" x14ac:dyDescent="0.35">
      <c r="A106" s="2">
        <v>45358</v>
      </c>
      <c r="B106" t="s">
        <v>13</v>
      </c>
      <c r="C106" t="s">
        <v>27</v>
      </c>
      <c r="D106">
        <v>184</v>
      </c>
      <c r="E106" t="s">
        <v>47</v>
      </c>
      <c r="F106" t="s">
        <v>49</v>
      </c>
    </row>
    <row r="107" spans="1:6" x14ac:dyDescent="0.35">
      <c r="A107" s="2">
        <v>45358</v>
      </c>
      <c r="B107" t="s">
        <v>9</v>
      </c>
      <c r="C107" t="s">
        <v>22</v>
      </c>
      <c r="D107">
        <v>151</v>
      </c>
      <c r="E107" t="s">
        <v>47</v>
      </c>
      <c r="F107" t="s">
        <v>52</v>
      </c>
    </row>
    <row r="108" spans="1:6" x14ac:dyDescent="0.35">
      <c r="A108" s="2">
        <v>45359</v>
      </c>
      <c r="B108" t="s">
        <v>7</v>
      </c>
      <c r="C108" t="s">
        <v>39</v>
      </c>
      <c r="D108">
        <v>8</v>
      </c>
      <c r="E108" t="s">
        <v>47</v>
      </c>
      <c r="F108" t="s">
        <v>50</v>
      </c>
    </row>
    <row r="109" spans="1:6" x14ac:dyDescent="0.35">
      <c r="A109" s="2">
        <v>45359</v>
      </c>
      <c r="B109" t="s">
        <v>6</v>
      </c>
      <c r="C109" t="s">
        <v>28</v>
      </c>
      <c r="D109">
        <v>251</v>
      </c>
      <c r="E109" t="s">
        <v>47</v>
      </c>
      <c r="F109" t="s">
        <v>52</v>
      </c>
    </row>
    <row r="110" spans="1:6" x14ac:dyDescent="0.35">
      <c r="A110" s="2">
        <v>45360</v>
      </c>
      <c r="B110" t="s">
        <v>16</v>
      </c>
      <c r="C110" t="s">
        <v>45</v>
      </c>
      <c r="D110">
        <v>2187</v>
      </c>
      <c r="E110" t="s">
        <v>48</v>
      </c>
      <c r="F110" t="s">
        <v>50</v>
      </c>
    </row>
    <row r="111" spans="1:6" x14ac:dyDescent="0.35">
      <c r="A111" s="2">
        <v>45360</v>
      </c>
      <c r="B111" t="s">
        <v>11</v>
      </c>
      <c r="C111" t="s">
        <v>32</v>
      </c>
      <c r="D111">
        <v>421</v>
      </c>
      <c r="E111" t="s">
        <v>47</v>
      </c>
      <c r="F111" t="s">
        <v>51</v>
      </c>
    </row>
    <row r="112" spans="1:6" x14ac:dyDescent="0.35">
      <c r="A112" s="2">
        <v>45360</v>
      </c>
      <c r="B112" t="s">
        <v>11</v>
      </c>
      <c r="C112" t="s">
        <v>24</v>
      </c>
      <c r="D112">
        <v>105</v>
      </c>
      <c r="E112" t="s">
        <v>47</v>
      </c>
      <c r="F112" t="s">
        <v>50</v>
      </c>
    </row>
    <row r="113" spans="1:6" x14ac:dyDescent="0.35">
      <c r="A113" s="2">
        <v>45361</v>
      </c>
      <c r="B113" t="s">
        <v>6</v>
      </c>
      <c r="C113" t="s">
        <v>28</v>
      </c>
      <c r="D113">
        <v>47</v>
      </c>
      <c r="E113" t="s">
        <v>47</v>
      </c>
      <c r="F113" t="s">
        <v>50</v>
      </c>
    </row>
    <row r="114" spans="1:6" x14ac:dyDescent="0.35">
      <c r="A114" s="2">
        <v>45362</v>
      </c>
      <c r="B114" t="s">
        <v>13</v>
      </c>
      <c r="C114" t="s">
        <v>27</v>
      </c>
      <c r="D114">
        <v>257</v>
      </c>
      <c r="E114" t="s">
        <v>47</v>
      </c>
      <c r="F114" t="s">
        <v>49</v>
      </c>
    </row>
    <row r="115" spans="1:6" x14ac:dyDescent="0.35">
      <c r="A115" s="2">
        <v>45362</v>
      </c>
      <c r="B115" t="s">
        <v>13</v>
      </c>
      <c r="C115" t="s">
        <v>27</v>
      </c>
      <c r="D115">
        <v>39</v>
      </c>
      <c r="E115" t="s">
        <v>47</v>
      </c>
      <c r="F115" t="s">
        <v>49</v>
      </c>
    </row>
    <row r="116" spans="1:6" x14ac:dyDescent="0.35">
      <c r="A116" s="2">
        <v>45363</v>
      </c>
      <c r="B116" t="s">
        <v>15</v>
      </c>
      <c r="C116" t="s">
        <v>30</v>
      </c>
      <c r="D116">
        <v>3517</v>
      </c>
      <c r="E116" t="s">
        <v>48</v>
      </c>
      <c r="F116" t="s">
        <v>52</v>
      </c>
    </row>
    <row r="117" spans="1:6" x14ac:dyDescent="0.35">
      <c r="A117" s="2">
        <v>45363</v>
      </c>
      <c r="B117" t="s">
        <v>13</v>
      </c>
      <c r="C117" t="s">
        <v>27</v>
      </c>
      <c r="D117">
        <v>119</v>
      </c>
      <c r="E117" t="s">
        <v>47</v>
      </c>
      <c r="F117" t="s">
        <v>51</v>
      </c>
    </row>
    <row r="118" spans="1:6" x14ac:dyDescent="0.35">
      <c r="A118" s="2">
        <v>45363</v>
      </c>
      <c r="B118" t="s">
        <v>12</v>
      </c>
      <c r="C118" t="s">
        <v>25</v>
      </c>
      <c r="D118">
        <v>318</v>
      </c>
      <c r="E118" t="s">
        <v>47</v>
      </c>
      <c r="F118" t="s">
        <v>51</v>
      </c>
    </row>
    <row r="119" spans="1:6" x14ac:dyDescent="0.35">
      <c r="A119" s="2">
        <v>45364</v>
      </c>
      <c r="B119" t="s">
        <v>6</v>
      </c>
      <c r="C119" t="s">
        <v>28</v>
      </c>
      <c r="D119">
        <v>221</v>
      </c>
      <c r="E119" t="s">
        <v>47</v>
      </c>
      <c r="F119" t="s">
        <v>51</v>
      </c>
    </row>
    <row r="120" spans="1:6" x14ac:dyDescent="0.35">
      <c r="A120" s="2">
        <v>45365</v>
      </c>
      <c r="B120" t="s">
        <v>9</v>
      </c>
      <c r="C120" t="s">
        <v>26</v>
      </c>
      <c r="D120">
        <v>461</v>
      </c>
      <c r="E120" t="s">
        <v>47</v>
      </c>
      <c r="F120" t="s">
        <v>50</v>
      </c>
    </row>
    <row r="121" spans="1:6" x14ac:dyDescent="0.35">
      <c r="A121" s="2">
        <v>45365</v>
      </c>
      <c r="B121" t="s">
        <v>11</v>
      </c>
      <c r="C121" t="s">
        <v>32</v>
      </c>
      <c r="D121">
        <v>103</v>
      </c>
      <c r="E121" t="s">
        <v>47</v>
      </c>
      <c r="F121" t="s">
        <v>50</v>
      </c>
    </row>
    <row r="122" spans="1:6" x14ac:dyDescent="0.35">
      <c r="A122" s="2">
        <v>45366</v>
      </c>
      <c r="B122" t="s">
        <v>12</v>
      </c>
      <c r="C122" t="s">
        <v>25</v>
      </c>
      <c r="D122">
        <v>156</v>
      </c>
      <c r="E122" t="s">
        <v>47</v>
      </c>
      <c r="F122" t="s">
        <v>49</v>
      </c>
    </row>
    <row r="123" spans="1:6" x14ac:dyDescent="0.35">
      <c r="A123" s="2">
        <v>45367</v>
      </c>
      <c r="B123" t="s">
        <v>17</v>
      </c>
      <c r="C123" t="s">
        <v>37</v>
      </c>
      <c r="D123">
        <v>17</v>
      </c>
      <c r="E123" t="s">
        <v>47</v>
      </c>
      <c r="F123" t="s">
        <v>49</v>
      </c>
    </row>
    <row r="124" spans="1:6" x14ac:dyDescent="0.35">
      <c r="A124" s="2">
        <v>45368</v>
      </c>
      <c r="B124" t="s">
        <v>17</v>
      </c>
      <c r="C124" t="s">
        <v>37</v>
      </c>
      <c r="D124">
        <v>66</v>
      </c>
      <c r="E124" t="s">
        <v>47</v>
      </c>
      <c r="F124" t="s">
        <v>50</v>
      </c>
    </row>
    <row r="125" spans="1:6" x14ac:dyDescent="0.35">
      <c r="A125" s="2">
        <v>45369</v>
      </c>
      <c r="B125" t="s">
        <v>11</v>
      </c>
      <c r="C125" t="s">
        <v>32</v>
      </c>
      <c r="D125">
        <v>104</v>
      </c>
      <c r="E125" t="s">
        <v>47</v>
      </c>
      <c r="F125" t="s">
        <v>50</v>
      </c>
    </row>
    <row r="126" spans="1:6" x14ac:dyDescent="0.35">
      <c r="A126" s="2">
        <v>45369</v>
      </c>
      <c r="B126" t="s">
        <v>10</v>
      </c>
      <c r="C126" t="s">
        <v>23</v>
      </c>
      <c r="D126">
        <v>80</v>
      </c>
      <c r="E126" t="s">
        <v>47</v>
      </c>
      <c r="F126" t="s">
        <v>51</v>
      </c>
    </row>
    <row r="127" spans="1:6" x14ac:dyDescent="0.35">
      <c r="A127" s="2">
        <v>45370</v>
      </c>
      <c r="B127" t="s">
        <v>14</v>
      </c>
      <c r="C127" t="s">
        <v>41</v>
      </c>
      <c r="D127">
        <v>371</v>
      </c>
      <c r="E127" t="s">
        <v>47</v>
      </c>
      <c r="F127" t="s">
        <v>50</v>
      </c>
    </row>
    <row r="128" spans="1:6" x14ac:dyDescent="0.35">
      <c r="A128" s="2">
        <v>45370</v>
      </c>
      <c r="B128" t="s">
        <v>7</v>
      </c>
      <c r="C128" t="s">
        <v>39</v>
      </c>
      <c r="D128">
        <v>103</v>
      </c>
      <c r="E128" t="s">
        <v>47</v>
      </c>
      <c r="F128" t="s">
        <v>50</v>
      </c>
    </row>
    <row r="129" spans="1:6" x14ac:dyDescent="0.35">
      <c r="A129" s="2">
        <v>45371</v>
      </c>
      <c r="B129" t="s">
        <v>7</v>
      </c>
      <c r="C129" t="s">
        <v>39</v>
      </c>
      <c r="D129">
        <v>155</v>
      </c>
      <c r="E129" t="s">
        <v>47</v>
      </c>
      <c r="F129" t="s">
        <v>50</v>
      </c>
    </row>
    <row r="130" spans="1:6" x14ac:dyDescent="0.35">
      <c r="A130" s="2">
        <v>45372</v>
      </c>
      <c r="B130" t="s">
        <v>7</v>
      </c>
      <c r="C130" t="s">
        <v>20</v>
      </c>
      <c r="D130">
        <v>190</v>
      </c>
      <c r="E130" t="s">
        <v>47</v>
      </c>
      <c r="F130" t="s">
        <v>49</v>
      </c>
    </row>
    <row r="131" spans="1:6" x14ac:dyDescent="0.35">
      <c r="A131" s="2">
        <v>45373</v>
      </c>
      <c r="B131" t="s">
        <v>7</v>
      </c>
      <c r="C131" t="s">
        <v>43</v>
      </c>
      <c r="D131">
        <v>219</v>
      </c>
      <c r="E131" t="s">
        <v>47</v>
      </c>
      <c r="F131" t="s">
        <v>51</v>
      </c>
    </row>
    <row r="132" spans="1:6" x14ac:dyDescent="0.35">
      <c r="A132" s="2">
        <v>45373</v>
      </c>
      <c r="B132" t="s">
        <v>13</v>
      </c>
      <c r="C132" t="s">
        <v>27</v>
      </c>
      <c r="D132">
        <v>243</v>
      </c>
      <c r="E132" t="s">
        <v>47</v>
      </c>
      <c r="F132" t="s">
        <v>50</v>
      </c>
    </row>
    <row r="133" spans="1:6" x14ac:dyDescent="0.35">
      <c r="A133" s="2">
        <v>45374</v>
      </c>
      <c r="B133" t="s">
        <v>17</v>
      </c>
      <c r="C133" t="s">
        <v>37</v>
      </c>
      <c r="D133">
        <v>234</v>
      </c>
      <c r="E133" t="s">
        <v>47</v>
      </c>
      <c r="F133" t="s">
        <v>49</v>
      </c>
    </row>
    <row r="134" spans="1:6" x14ac:dyDescent="0.35">
      <c r="A134" s="2">
        <v>45374</v>
      </c>
      <c r="B134" t="s">
        <v>6</v>
      </c>
      <c r="C134" t="s">
        <v>28</v>
      </c>
      <c r="D134">
        <v>397</v>
      </c>
      <c r="E134" t="s">
        <v>47</v>
      </c>
      <c r="F134" t="s">
        <v>52</v>
      </c>
    </row>
    <row r="135" spans="1:6" x14ac:dyDescent="0.35">
      <c r="A135" s="2">
        <v>45375</v>
      </c>
      <c r="B135" t="s">
        <v>7</v>
      </c>
      <c r="C135" t="s">
        <v>39</v>
      </c>
      <c r="D135">
        <v>169</v>
      </c>
      <c r="E135" t="s">
        <v>47</v>
      </c>
      <c r="F135" t="s">
        <v>52</v>
      </c>
    </row>
    <row r="136" spans="1:6" x14ac:dyDescent="0.35">
      <c r="A136" s="2">
        <v>45375</v>
      </c>
      <c r="B136" t="s">
        <v>11</v>
      </c>
      <c r="C136" t="s">
        <v>32</v>
      </c>
      <c r="D136">
        <v>325</v>
      </c>
      <c r="E136" t="s">
        <v>47</v>
      </c>
      <c r="F136" t="s">
        <v>52</v>
      </c>
    </row>
    <row r="137" spans="1:6" x14ac:dyDescent="0.35">
      <c r="A137" s="2">
        <v>45376</v>
      </c>
      <c r="B137" t="s">
        <v>12</v>
      </c>
      <c r="C137" t="s">
        <v>35</v>
      </c>
      <c r="D137">
        <v>305</v>
      </c>
      <c r="E137" t="s">
        <v>47</v>
      </c>
      <c r="F137" t="s">
        <v>50</v>
      </c>
    </row>
    <row r="138" spans="1:6" x14ac:dyDescent="0.35">
      <c r="A138" s="2">
        <v>45377</v>
      </c>
      <c r="B138" t="s">
        <v>11</v>
      </c>
      <c r="C138" t="s">
        <v>32</v>
      </c>
      <c r="D138">
        <v>368</v>
      </c>
      <c r="E138" t="s">
        <v>47</v>
      </c>
      <c r="F138" t="s">
        <v>52</v>
      </c>
    </row>
    <row r="139" spans="1:6" x14ac:dyDescent="0.35">
      <c r="A139" s="2">
        <v>45377</v>
      </c>
      <c r="B139" t="s">
        <v>12</v>
      </c>
      <c r="C139" t="s">
        <v>35</v>
      </c>
      <c r="D139">
        <v>206</v>
      </c>
      <c r="E139" t="s">
        <v>47</v>
      </c>
      <c r="F139" t="s">
        <v>52</v>
      </c>
    </row>
    <row r="140" spans="1:6" x14ac:dyDescent="0.35">
      <c r="A140" s="2">
        <v>45378</v>
      </c>
      <c r="B140" t="s">
        <v>11</v>
      </c>
      <c r="C140" t="s">
        <v>32</v>
      </c>
      <c r="D140">
        <v>145</v>
      </c>
      <c r="E140" t="s">
        <v>47</v>
      </c>
      <c r="F140" t="s">
        <v>52</v>
      </c>
    </row>
    <row r="141" spans="1:6" x14ac:dyDescent="0.35">
      <c r="A141" s="2">
        <v>45378</v>
      </c>
      <c r="B141" t="s">
        <v>9</v>
      </c>
      <c r="C141" t="s">
        <v>22</v>
      </c>
      <c r="D141">
        <v>480</v>
      </c>
      <c r="E141" t="s">
        <v>47</v>
      </c>
      <c r="F141" t="s">
        <v>50</v>
      </c>
    </row>
    <row r="142" spans="1:6" x14ac:dyDescent="0.35">
      <c r="A142" s="2">
        <v>45379</v>
      </c>
      <c r="B142" t="s">
        <v>12</v>
      </c>
      <c r="C142" t="s">
        <v>35</v>
      </c>
      <c r="D142">
        <v>391</v>
      </c>
      <c r="E142" t="s">
        <v>47</v>
      </c>
      <c r="F142" t="s">
        <v>51</v>
      </c>
    </row>
    <row r="143" spans="1:6" x14ac:dyDescent="0.35">
      <c r="A143" s="2">
        <v>45380</v>
      </c>
      <c r="B143" t="s">
        <v>17</v>
      </c>
      <c r="C143" t="s">
        <v>37</v>
      </c>
      <c r="D143">
        <v>316</v>
      </c>
      <c r="E143" t="s">
        <v>47</v>
      </c>
      <c r="F143" t="s">
        <v>51</v>
      </c>
    </row>
    <row r="144" spans="1:6" x14ac:dyDescent="0.35">
      <c r="A144" s="2">
        <v>45381</v>
      </c>
      <c r="B144" t="s">
        <v>9</v>
      </c>
      <c r="C144" t="s">
        <v>22</v>
      </c>
      <c r="D144">
        <v>177</v>
      </c>
      <c r="E144" t="s">
        <v>47</v>
      </c>
      <c r="F144" t="s">
        <v>50</v>
      </c>
    </row>
    <row r="145" spans="1:6" x14ac:dyDescent="0.35">
      <c r="A145" s="2">
        <v>45381</v>
      </c>
      <c r="B145" t="s">
        <v>7</v>
      </c>
      <c r="C145" t="s">
        <v>20</v>
      </c>
      <c r="D145">
        <v>217</v>
      </c>
      <c r="E145" t="s">
        <v>47</v>
      </c>
      <c r="F145" t="s">
        <v>49</v>
      </c>
    </row>
    <row r="146" spans="1:6" x14ac:dyDescent="0.35">
      <c r="A146" s="2">
        <v>45382</v>
      </c>
      <c r="B146" t="s">
        <v>11</v>
      </c>
      <c r="C146" t="s">
        <v>24</v>
      </c>
      <c r="D146">
        <v>24</v>
      </c>
      <c r="E146" t="s">
        <v>47</v>
      </c>
      <c r="F146" t="s">
        <v>51</v>
      </c>
    </row>
    <row r="147" spans="1:6" x14ac:dyDescent="0.35">
      <c r="A147" s="2">
        <v>45382</v>
      </c>
      <c r="B147" t="s">
        <v>13</v>
      </c>
      <c r="C147" t="s">
        <v>27</v>
      </c>
      <c r="D147">
        <v>51</v>
      </c>
      <c r="E147" t="s">
        <v>47</v>
      </c>
      <c r="F147" t="s">
        <v>51</v>
      </c>
    </row>
    <row r="148" spans="1:6" x14ac:dyDescent="0.35">
      <c r="A148" s="2">
        <v>45383</v>
      </c>
      <c r="B148" t="s">
        <v>17</v>
      </c>
      <c r="C148" t="s">
        <v>37</v>
      </c>
      <c r="D148">
        <v>58</v>
      </c>
      <c r="E148" t="s">
        <v>47</v>
      </c>
      <c r="F148" t="s">
        <v>52</v>
      </c>
    </row>
    <row r="149" spans="1:6" x14ac:dyDescent="0.35">
      <c r="A149" s="2">
        <v>45384</v>
      </c>
      <c r="B149" t="s">
        <v>10</v>
      </c>
      <c r="C149" t="s">
        <v>23</v>
      </c>
      <c r="D149">
        <v>16</v>
      </c>
      <c r="E149" t="s">
        <v>47</v>
      </c>
      <c r="F149" t="s">
        <v>52</v>
      </c>
    </row>
    <row r="150" spans="1:6" x14ac:dyDescent="0.35">
      <c r="A150" s="2">
        <v>45385</v>
      </c>
      <c r="B150" t="s">
        <v>8</v>
      </c>
      <c r="C150" t="s">
        <v>21</v>
      </c>
      <c r="D150">
        <v>412</v>
      </c>
      <c r="E150" t="s">
        <v>47</v>
      </c>
      <c r="F150" t="s">
        <v>50</v>
      </c>
    </row>
    <row r="151" spans="1:6" x14ac:dyDescent="0.35">
      <c r="A151" s="2">
        <v>45385</v>
      </c>
      <c r="B151" t="s">
        <v>7</v>
      </c>
      <c r="C151" t="s">
        <v>20</v>
      </c>
      <c r="D151">
        <v>352</v>
      </c>
      <c r="E151" t="s">
        <v>47</v>
      </c>
      <c r="F151" t="s">
        <v>50</v>
      </c>
    </row>
    <row r="152" spans="1:6" x14ac:dyDescent="0.35">
      <c r="A152" s="2">
        <v>45386</v>
      </c>
      <c r="B152" t="s">
        <v>13</v>
      </c>
      <c r="C152" t="s">
        <v>27</v>
      </c>
      <c r="D152">
        <v>32</v>
      </c>
      <c r="E152" t="s">
        <v>47</v>
      </c>
      <c r="F152" t="s">
        <v>50</v>
      </c>
    </row>
    <row r="153" spans="1:6" x14ac:dyDescent="0.35">
      <c r="A153" s="2">
        <v>45386</v>
      </c>
      <c r="B153" t="s">
        <v>7</v>
      </c>
      <c r="C153" t="s">
        <v>39</v>
      </c>
      <c r="D153">
        <v>232</v>
      </c>
      <c r="E153" t="s">
        <v>47</v>
      </c>
      <c r="F153" t="s">
        <v>50</v>
      </c>
    </row>
    <row r="154" spans="1:6" x14ac:dyDescent="0.35">
      <c r="A154" s="2">
        <v>45387</v>
      </c>
      <c r="B154" t="s">
        <v>17</v>
      </c>
      <c r="C154" t="s">
        <v>37</v>
      </c>
      <c r="D154">
        <v>421</v>
      </c>
      <c r="E154" t="s">
        <v>47</v>
      </c>
      <c r="F154" t="s">
        <v>51</v>
      </c>
    </row>
    <row r="155" spans="1:6" x14ac:dyDescent="0.35">
      <c r="A155" s="2">
        <v>45388</v>
      </c>
      <c r="B155" t="s">
        <v>11</v>
      </c>
      <c r="C155" t="s">
        <v>32</v>
      </c>
      <c r="D155">
        <v>394</v>
      </c>
      <c r="E155" t="s">
        <v>47</v>
      </c>
      <c r="F155" t="s">
        <v>52</v>
      </c>
    </row>
    <row r="156" spans="1:6" x14ac:dyDescent="0.35">
      <c r="A156" s="2">
        <v>45388</v>
      </c>
      <c r="B156" t="s">
        <v>11</v>
      </c>
      <c r="C156" t="s">
        <v>32</v>
      </c>
      <c r="D156">
        <v>307</v>
      </c>
      <c r="E156" t="s">
        <v>47</v>
      </c>
      <c r="F156" t="s">
        <v>51</v>
      </c>
    </row>
    <row r="157" spans="1:6" x14ac:dyDescent="0.35">
      <c r="A157" s="2">
        <v>45389</v>
      </c>
      <c r="B157" t="s">
        <v>13</v>
      </c>
      <c r="C157" t="s">
        <v>27</v>
      </c>
      <c r="D157">
        <v>255</v>
      </c>
      <c r="E157" t="s">
        <v>47</v>
      </c>
      <c r="F157" t="s">
        <v>51</v>
      </c>
    </row>
    <row r="158" spans="1:6" x14ac:dyDescent="0.35">
      <c r="A158" s="2">
        <v>45389</v>
      </c>
      <c r="B158" t="s">
        <v>7</v>
      </c>
      <c r="C158" t="s">
        <v>43</v>
      </c>
      <c r="D158">
        <v>293</v>
      </c>
      <c r="E158" t="s">
        <v>47</v>
      </c>
      <c r="F158" t="s">
        <v>52</v>
      </c>
    </row>
    <row r="159" spans="1:6" x14ac:dyDescent="0.35">
      <c r="A159" s="2">
        <v>45390</v>
      </c>
      <c r="B159" t="s">
        <v>17</v>
      </c>
      <c r="C159" t="s">
        <v>37</v>
      </c>
      <c r="D159">
        <v>345</v>
      </c>
      <c r="E159" t="s">
        <v>47</v>
      </c>
      <c r="F159" t="s">
        <v>52</v>
      </c>
    </row>
    <row r="160" spans="1:6" x14ac:dyDescent="0.35">
      <c r="A160" s="2">
        <v>45390</v>
      </c>
      <c r="B160" t="s">
        <v>10</v>
      </c>
      <c r="C160" t="s">
        <v>33</v>
      </c>
      <c r="D160">
        <v>319</v>
      </c>
      <c r="E160" t="s">
        <v>47</v>
      </c>
      <c r="F160" t="s">
        <v>49</v>
      </c>
    </row>
    <row r="161" spans="1:6" x14ac:dyDescent="0.35">
      <c r="A161" s="2">
        <v>45391</v>
      </c>
      <c r="B161" t="s">
        <v>13</v>
      </c>
      <c r="C161" t="s">
        <v>27</v>
      </c>
      <c r="D161">
        <v>109</v>
      </c>
      <c r="E161" t="s">
        <v>47</v>
      </c>
      <c r="F161" t="s">
        <v>49</v>
      </c>
    </row>
    <row r="162" spans="1:6" x14ac:dyDescent="0.35">
      <c r="A162" s="2">
        <v>45392</v>
      </c>
      <c r="B162" t="s">
        <v>12</v>
      </c>
      <c r="C162" t="s">
        <v>25</v>
      </c>
      <c r="D162">
        <v>480</v>
      </c>
      <c r="E162" t="s">
        <v>47</v>
      </c>
      <c r="F162" t="s">
        <v>51</v>
      </c>
    </row>
    <row r="163" spans="1:6" x14ac:dyDescent="0.35">
      <c r="A163" s="2">
        <v>45393</v>
      </c>
      <c r="B163" t="s">
        <v>8</v>
      </c>
      <c r="C163" t="s">
        <v>34</v>
      </c>
      <c r="D163">
        <v>441</v>
      </c>
      <c r="E163" t="s">
        <v>47</v>
      </c>
      <c r="F163" t="s">
        <v>49</v>
      </c>
    </row>
    <row r="164" spans="1:6" x14ac:dyDescent="0.35">
      <c r="A164" s="2">
        <v>45394</v>
      </c>
      <c r="B164" t="s">
        <v>9</v>
      </c>
      <c r="C164" t="s">
        <v>22</v>
      </c>
      <c r="D164">
        <v>87</v>
      </c>
      <c r="E164" t="s">
        <v>47</v>
      </c>
      <c r="F164" t="s">
        <v>51</v>
      </c>
    </row>
    <row r="165" spans="1:6" x14ac:dyDescent="0.35">
      <c r="A165" s="2">
        <v>45395</v>
      </c>
      <c r="B165" t="s">
        <v>17</v>
      </c>
      <c r="C165" t="s">
        <v>37</v>
      </c>
      <c r="D165">
        <v>177</v>
      </c>
      <c r="E165" t="s">
        <v>47</v>
      </c>
      <c r="F165" t="s">
        <v>51</v>
      </c>
    </row>
    <row r="166" spans="1:6" x14ac:dyDescent="0.35">
      <c r="A166" s="2">
        <v>45396</v>
      </c>
      <c r="B166" t="s">
        <v>17</v>
      </c>
      <c r="C166" t="s">
        <v>40</v>
      </c>
      <c r="D166">
        <v>292</v>
      </c>
      <c r="E166" t="s">
        <v>47</v>
      </c>
      <c r="F166" t="s">
        <v>52</v>
      </c>
    </row>
    <row r="167" spans="1:6" x14ac:dyDescent="0.35">
      <c r="A167" s="2">
        <v>45397</v>
      </c>
      <c r="B167" t="s">
        <v>12</v>
      </c>
      <c r="C167" t="s">
        <v>25</v>
      </c>
      <c r="D167">
        <v>254</v>
      </c>
      <c r="E167" t="s">
        <v>47</v>
      </c>
      <c r="F167" t="s">
        <v>52</v>
      </c>
    </row>
    <row r="168" spans="1:6" x14ac:dyDescent="0.35">
      <c r="A168" s="2">
        <v>45397</v>
      </c>
      <c r="B168" t="s">
        <v>8</v>
      </c>
      <c r="C168" t="s">
        <v>21</v>
      </c>
      <c r="D168">
        <v>263</v>
      </c>
      <c r="E168" t="s">
        <v>47</v>
      </c>
      <c r="F168" t="s">
        <v>49</v>
      </c>
    </row>
    <row r="169" spans="1:6" x14ac:dyDescent="0.35">
      <c r="A169" s="2">
        <v>45398</v>
      </c>
      <c r="B169" t="s">
        <v>8</v>
      </c>
      <c r="C169" t="s">
        <v>21</v>
      </c>
      <c r="D169">
        <v>393</v>
      </c>
      <c r="E169" t="s">
        <v>47</v>
      </c>
      <c r="F169" t="s">
        <v>52</v>
      </c>
    </row>
    <row r="170" spans="1:6" x14ac:dyDescent="0.35">
      <c r="A170" s="2">
        <v>45399</v>
      </c>
      <c r="B170" t="s">
        <v>17</v>
      </c>
      <c r="C170" t="s">
        <v>40</v>
      </c>
      <c r="D170">
        <v>259</v>
      </c>
      <c r="E170" t="s">
        <v>47</v>
      </c>
      <c r="F170" t="s">
        <v>49</v>
      </c>
    </row>
    <row r="171" spans="1:6" x14ac:dyDescent="0.35">
      <c r="A171" s="2">
        <v>45400</v>
      </c>
      <c r="B171" t="s">
        <v>7</v>
      </c>
      <c r="C171" t="s">
        <v>20</v>
      </c>
      <c r="D171">
        <v>70</v>
      </c>
      <c r="E171" t="s">
        <v>47</v>
      </c>
      <c r="F171" t="s">
        <v>49</v>
      </c>
    </row>
    <row r="172" spans="1:6" x14ac:dyDescent="0.35">
      <c r="A172" s="2">
        <v>45401</v>
      </c>
      <c r="B172" t="s">
        <v>13</v>
      </c>
      <c r="C172" t="s">
        <v>27</v>
      </c>
      <c r="D172">
        <v>298</v>
      </c>
      <c r="E172" t="s">
        <v>47</v>
      </c>
      <c r="F172" t="s">
        <v>52</v>
      </c>
    </row>
    <row r="173" spans="1:6" x14ac:dyDescent="0.35">
      <c r="A173" s="2">
        <v>45401</v>
      </c>
      <c r="B173" t="s">
        <v>13</v>
      </c>
      <c r="C173" t="s">
        <v>27</v>
      </c>
      <c r="D173">
        <v>342</v>
      </c>
      <c r="E173" t="s">
        <v>47</v>
      </c>
      <c r="F173" t="s">
        <v>52</v>
      </c>
    </row>
    <row r="174" spans="1:6" x14ac:dyDescent="0.35">
      <c r="A174" s="2">
        <v>45402</v>
      </c>
      <c r="B174" t="s">
        <v>13</v>
      </c>
      <c r="C174" t="s">
        <v>27</v>
      </c>
      <c r="D174">
        <v>312</v>
      </c>
      <c r="E174" t="s">
        <v>47</v>
      </c>
      <c r="F174" t="s">
        <v>51</v>
      </c>
    </row>
    <row r="175" spans="1:6" x14ac:dyDescent="0.35">
      <c r="A175" s="2">
        <v>45403</v>
      </c>
      <c r="B175" t="s">
        <v>12</v>
      </c>
      <c r="C175" t="s">
        <v>25</v>
      </c>
      <c r="D175">
        <v>55</v>
      </c>
      <c r="E175" t="s">
        <v>47</v>
      </c>
      <c r="F175" t="s">
        <v>51</v>
      </c>
    </row>
    <row r="176" spans="1:6" x14ac:dyDescent="0.35">
      <c r="A176" s="2">
        <v>45403</v>
      </c>
      <c r="B176" t="s">
        <v>7</v>
      </c>
      <c r="C176" t="s">
        <v>39</v>
      </c>
      <c r="D176">
        <v>392</v>
      </c>
      <c r="E176" t="s">
        <v>47</v>
      </c>
      <c r="F176" t="s">
        <v>52</v>
      </c>
    </row>
    <row r="177" spans="1:6" x14ac:dyDescent="0.35">
      <c r="A177" s="2">
        <v>45404</v>
      </c>
      <c r="B177" t="s">
        <v>17</v>
      </c>
      <c r="C177" t="s">
        <v>40</v>
      </c>
      <c r="D177">
        <v>344</v>
      </c>
      <c r="E177" t="s">
        <v>47</v>
      </c>
      <c r="F177" t="s">
        <v>50</v>
      </c>
    </row>
    <row r="178" spans="1:6" x14ac:dyDescent="0.35">
      <c r="A178" s="2">
        <v>45404</v>
      </c>
      <c r="B178" t="s">
        <v>7</v>
      </c>
      <c r="C178" t="s">
        <v>20</v>
      </c>
      <c r="D178">
        <v>266</v>
      </c>
      <c r="E178" t="s">
        <v>47</v>
      </c>
      <c r="F178" t="s">
        <v>51</v>
      </c>
    </row>
    <row r="179" spans="1:6" x14ac:dyDescent="0.35">
      <c r="A179" s="2">
        <v>45405</v>
      </c>
      <c r="B179" t="s">
        <v>11</v>
      </c>
      <c r="C179" t="s">
        <v>24</v>
      </c>
      <c r="D179">
        <v>253</v>
      </c>
      <c r="E179" t="s">
        <v>47</v>
      </c>
      <c r="F179" t="s">
        <v>49</v>
      </c>
    </row>
    <row r="180" spans="1:6" x14ac:dyDescent="0.35">
      <c r="A180" s="2">
        <v>45405</v>
      </c>
      <c r="B180" t="s">
        <v>12</v>
      </c>
      <c r="C180" t="s">
        <v>25</v>
      </c>
      <c r="D180">
        <v>99</v>
      </c>
      <c r="E180" t="s">
        <v>47</v>
      </c>
      <c r="F180" t="s">
        <v>49</v>
      </c>
    </row>
    <row r="181" spans="1:6" x14ac:dyDescent="0.35">
      <c r="A181" s="2">
        <v>45406</v>
      </c>
      <c r="B181" t="s">
        <v>14</v>
      </c>
      <c r="C181" t="s">
        <v>36</v>
      </c>
      <c r="D181">
        <v>199</v>
      </c>
      <c r="E181" t="s">
        <v>47</v>
      </c>
      <c r="F181" t="s">
        <v>50</v>
      </c>
    </row>
    <row r="182" spans="1:6" x14ac:dyDescent="0.35">
      <c r="A182" s="2">
        <v>45406</v>
      </c>
      <c r="B182" t="s">
        <v>11</v>
      </c>
      <c r="C182" t="s">
        <v>24</v>
      </c>
      <c r="D182">
        <v>97</v>
      </c>
      <c r="E182" t="s">
        <v>47</v>
      </c>
      <c r="F182" t="s">
        <v>50</v>
      </c>
    </row>
    <row r="183" spans="1:6" x14ac:dyDescent="0.35">
      <c r="A183" s="2">
        <v>45407</v>
      </c>
      <c r="B183" t="s">
        <v>11</v>
      </c>
      <c r="C183" t="s">
        <v>24</v>
      </c>
      <c r="D183">
        <v>281</v>
      </c>
      <c r="E183" t="s">
        <v>47</v>
      </c>
      <c r="F183" t="s">
        <v>51</v>
      </c>
    </row>
    <row r="184" spans="1:6" x14ac:dyDescent="0.35">
      <c r="A184" s="2">
        <v>45407</v>
      </c>
      <c r="B184" t="s">
        <v>13</v>
      </c>
      <c r="C184" t="s">
        <v>27</v>
      </c>
      <c r="D184">
        <v>96</v>
      </c>
      <c r="E184" t="s">
        <v>47</v>
      </c>
      <c r="F184" t="s">
        <v>52</v>
      </c>
    </row>
    <row r="185" spans="1:6" x14ac:dyDescent="0.35">
      <c r="A185" s="2">
        <v>45408</v>
      </c>
      <c r="B185" t="s">
        <v>8</v>
      </c>
      <c r="C185" t="s">
        <v>34</v>
      </c>
      <c r="D185">
        <v>137</v>
      </c>
      <c r="E185" t="s">
        <v>47</v>
      </c>
      <c r="F185" t="s">
        <v>51</v>
      </c>
    </row>
    <row r="186" spans="1:6" x14ac:dyDescent="0.35">
      <c r="A186" s="2">
        <v>45409</v>
      </c>
      <c r="B186" t="s">
        <v>13</v>
      </c>
      <c r="C186" t="s">
        <v>27</v>
      </c>
      <c r="D186">
        <v>437</v>
      </c>
      <c r="E186" t="s">
        <v>47</v>
      </c>
      <c r="F186" t="s">
        <v>52</v>
      </c>
    </row>
    <row r="187" spans="1:6" x14ac:dyDescent="0.35">
      <c r="A187" s="2">
        <v>45409</v>
      </c>
      <c r="B187" t="s">
        <v>9</v>
      </c>
      <c r="C187" t="s">
        <v>26</v>
      </c>
      <c r="D187">
        <v>415</v>
      </c>
      <c r="E187" t="s">
        <v>47</v>
      </c>
      <c r="F187" t="s">
        <v>51</v>
      </c>
    </row>
    <row r="188" spans="1:6" x14ac:dyDescent="0.35">
      <c r="A188" s="2">
        <v>45410</v>
      </c>
      <c r="B188" t="s">
        <v>10</v>
      </c>
      <c r="C188" t="s">
        <v>33</v>
      </c>
      <c r="D188">
        <v>243</v>
      </c>
      <c r="E188" t="s">
        <v>47</v>
      </c>
      <c r="F188" t="s">
        <v>50</v>
      </c>
    </row>
    <row r="189" spans="1:6" x14ac:dyDescent="0.35">
      <c r="A189" s="2">
        <v>45411</v>
      </c>
      <c r="B189" t="s">
        <v>17</v>
      </c>
      <c r="C189" t="s">
        <v>40</v>
      </c>
      <c r="D189">
        <v>296</v>
      </c>
      <c r="E189" t="s">
        <v>47</v>
      </c>
      <c r="F189" t="s">
        <v>51</v>
      </c>
    </row>
    <row r="190" spans="1:6" x14ac:dyDescent="0.35">
      <c r="A190" s="2">
        <v>45412</v>
      </c>
      <c r="B190" t="s">
        <v>14</v>
      </c>
      <c r="C190" t="s">
        <v>41</v>
      </c>
      <c r="D190">
        <v>307</v>
      </c>
      <c r="E190" t="s">
        <v>47</v>
      </c>
      <c r="F190" t="s">
        <v>49</v>
      </c>
    </row>
    <row r="191" spans="1:6" x14ac:dyDescent="0.35">
      <c r="A191" s="2">
        <v>45413</v>
      </c>
      <c r="B191" t="s">
        <v>9</v>
      </c>
      <c r="C191" t="s">
        <v>22</v>
      </c>
      <c r="D191">
        <v>475</v>
      </c>
      <c r="E191" t="s">
        <v>47</v>
      </c>
      <c r="F191" t="s">
        <v>52</v>
      </c>
    </row>
    <row r="192" spans="1:6" x14ac:dyDescent="0.35">
      <c r="A192" s="2">
        <v>45413</v>
      </c>
      <c r="B192" t="s">
        <v>6</v>
      </c>
      <c r="C192" t="s">
        <v>28</v>
      </c>
      <c r="D192">
        <v>369</v>
      </c>
      <c r="E192" t="s">
        <v>47</v>
      </c>
      <c r="F192" t="s">
        <v>52</v>
      </c>
    </row>
    <row r="193" spans="1:6" x14ac:dyDescent="0.35">
      <c r="A193" s="2">
        <v>45414</v>
      </c>
      <c r="B193" t="s">
        <v>16</v>
      </c>
      <c r="C193" t="s">
        <v>31</v>
      </c>
      <c r="D193">
        <v>1526</v>
      </c>
      <c r="E193" t="s">
        <v>48</v>
      </c>
      <c r="F193" t="s">
        <v>49</v>
      </c>
    </row>
    <row r="194" spans="1:6" x14ac:dyDescent="0.35">
      <c r="A194" s="2">
        <v>45414</v>
      </c>
      <c r="B194" t="s">
        <v>13</v>
      </c>
      <c r="C194" t="s">
        <v>27</v>
      </c>
      <c r="D194">
        <v>298</v>
      </c>
      <c r="E194" t="s">
        <v>47</v>
      </c>
      <c r="F194" t="s">
        <v>49</v>
      </c>
    </row>
    <row r="195" spans="1:6" x14ac:dyDescent="0.35">
      <c r="A195" s="2">
        <v>45415</v>
      </c>
      <c r="B195" t="s">
        <v>10</v>
      </c>
      <c r="C195" t="s">
        <v>23</v>
      </c>
      <c r="D195">
        <v>489</v>
      </c>
      <c r="E195" t="s">
        <v>47</v>
      </c>
      <c r="F195" t="s">
        <v>50</v>
      </c>
    </row>
    <row r="196" spans="1:6" x14ac:dyDescent="0.35">
      <c r="A196" s="2">
        <v>45415</v>
      </c>
      <c r="B196" t="s">
        <v>9</v>
      </c>
      <c r="C196" t="s">
        <v>26</v>
      </c>
      <c r="D196">
        <v>445</v>
      </c>
      <c r="E196" t="s">
        <v>47</v>
      </c>
      <c r="F196" t="s">
        <v>51</v>
      </c>
    </row>
    <row r="197" spans="1:6" x14ac:dyDescent="0.35">
      <c r="A197" s="2">
        <v>45416</v>
      </c>
      <c r="B197" t="s">
        <v>10</v>
      </c>
      <c r="C197" t="s">
        <v>23</v>
      </c>
      <c r="D197">
        <v>17</v>
      </c>
      <c r="E197" t="s">
        <v>47</v>
      </c>
      <c r="F197" t="s">
        <v>50</v>
      </c>
    </row>
    <row r="198" spans="1:6" x14ac:dyDescent="0.35">
      <c r="A198" s="2">
        <v>45416</v>
      </c>
      <c r="B198" t="s">
        <v>10</v>
      </c>
      <c r="C198" t="s">
        <v>33</v>
      </c>
      <c r="D198">
        <v>398</v>
      </c>
      <c r="E198" t="s">
        <v>47</v>
      </c>
      <c r="F198" t="s">
        <v>49</v>
      </c>
    </row>
    <row r="199" spans="1:6" x14ac:dyDescent="0.35">
      <c r="A199" s="2">
        <v>45417</v>
      </c>
      <c r="B199" t="s">
        <v>14</v>
      </c>
      <c r="C199" t="s">
        <v>41</v>
      </c>
      <c r="D199">
        <v>474</v>
      </c>
      <c r="E199" t="s">
        <v>47</v>
      </c>
      <c r="F199" t="s">
        <v>52</v>
      </c>
    </row>
    <row r="200" spans="1:6" x14ac:dyDescent="0.35">
      <c r="A200" s="2">
        <v>45417</v>
      </c>
      <c r="B200" t="s">
        <v>6</v>
      </c>
      <c r="C200" t="s">
        <v>28</v>
      </c>
      <c r="D200">
        <v>373</v>
      </c>
      <c r="E200" t="s">
        <v>47</v>
      </c>
      <c r="F200" t="s">
        <v>50</v>
      </c>
    </row>
    <row r="201" spans="1:6" x14ac:dyDescent="0.35">
      <c r="A201" s="2">
        <v>45418</v>
      </c>
      <c r="B201" t="s">
        <v>7</v>
      </c>
      <c r="C201" t="s">
        <v>20</v>
      </c>
      <c r="D201">
        <v>184</v>
      </c>
      <c r="E201" t="s">
        <v>47</v>
      </c>
      <c r="F201" t="s">
        <v>52</v>
      </c>
    </row>
    <row r="202" spans="1:6" x14ac:dyDescent="0.35">
      <c r="A202" s="2">
        <v>45419</v>
      </c>
      <c r="B202" t="s">
        <v>6</v>
      </c>
      <c r="C202" t="s">
        <v>19</v>
      </c>
      <c r="D202">
        <v>369</v>
      </c>
      <c r="E202" t="s">
        <v>47</v>
      </c>
      <c r="F202" t="s">
        <v>52</v>
      </c>
    </row>
    <row r="203" spans="1:6" x14ac:dyDescent="0.35">
      <c r="A203" s="2">
        <v>45420</v>
      </c>
      <c r="B203" t="s">
        <v>7</v>
      </c>
      <c r="C203" t="s">
        <v>20</v>
      </c>
      <c r="D203">
        <v>281</v>
      </c>
      <c r="E203" t="s">
        <v>47</v>
      </c>
      <c r="F203" t="s">
        <v>52</v>
      </c>
    </row>
    <row r="204" spans="1:6" x14ac:dyDescent="0.35">
      <c r="A204" s="2">
        <v>45421</v>
      </c>
      <c r="B204" t="s">
        <v>14</v>
      </c>
      <c r="C204" t="s">
        <v>29</v>
      </c>
      <c r="D204">
        <v>335</v>
      </c>
      <c r="E204" t="s">
        <v>47</v>
      </c>
      <c r="F204" t="s">
        <v>52</v>
      </c>
    </row>
    <row r="205" spans="1:6" x14ac:dyDescent="0.35">
      <c r="A205" s="2">
        <v>45421</v>
      </c>
      <c r="B205" t="s">
        <v>6</v>
      </c>
      <c r="C205" t="s">
        <v>19</v>
      </c>
      <c r="D205">
        <v>141</v>
      </c>
      <c r="E205" t="s">
        <v>47</v>
      </c>
      <c r="F205" t="s">
        <v>49</v>
      </c>
    </row>
    <row r="206" spans="1:6" x14ac:dyDescent="0.35">
      <c r="A206" s="2">
        <v>45422</v>
      </c>
      <c r="B206" t="s">
        <v>16</v>
      </c>
      <c r="C206" t="s">
        <v>45</v>
      </c>
      <c r="D206">
        <v>728</v>
      </c>
      <c r="E206" t="s">
        <v>48</v>
      </c>
      <c r="F206" t="s">
        <v>50</v>
      </c>
    </row>
    <row r="207" spans="1:6" x14ac:dyDescent="0.35">
      <c r="A207" s="2">
        <v>45422</v>
      </c>
      <c r="B207" t="s">
        <v>8</v>
      </c>
      <c r="C207" t="s">
        <v>21</v>
      </c>
      <c r="D207">
        <v>472</v>
      </c>
      <c r="E207" t="s">
        <v>47</v>
      </c>
      <c r="F207" t="s">
        <v>50</v>
      </c>
    </row>
    <row r="208" spans="1:6" x14ac:dyDescent="0.35">
      <c r="A208" s="2">
        <v>45422</v>
      </c>
      <c r="B208" t="s">
        <v>14</v>
      </c>
      <c r="C208" t="s">
        <v>41</v>
      </c>
      <c r="D208">
        <v>138</v>
      </c>
      <c r="E208" t="s">
        <v>47</v>
      </c>
      <c r="F208" t="s">
        <v>52</v>
      </c>
    </row>
    <row r="209" spans="1:6" x14ac:dyDescent="0.35">
      <c r="A209" s="2">
        <v>45423</v>
      </c>
      <c r="B209" t="s">
        <v>8</v>
      </c>
      <c r="C209" t="s">
        <v>34</v>
      </c>
      <c r="D209">
        <v>66</v>
      </c>
      <c r="E209" t="s">
        <v>47</v>
      </c>
      <c r="F209" t="s">
        <v>51</v>
      </c>
    </row>
    <row r="210" spans="1:6" x14ac:dyDescent="0.35">
      <c r="A210" s="2">
        <v>45423</v>
      </c>
      <c r="B210" t="s">
        <v>13</v>
      </c>
      <c r="C210" t="s">
        <v>27</v>
      </c>
      <c r="D210">
        <v>339</v>
      </c>
      <c r="E210" t="s">
        <v>47</v>
      </c>
      <c r="F210" t="s">
        <v>49</v>
      </c>
    </row>
    <row r="211" spans="1:6" x14ac:dyDescent="0.35">
      <c r="A211" s="2">
        <v>45424</v>
      </c>
      <c r="B211" t="s">
        <v>7</v>
      </c>
      <c r="C211" t="s">
        <v>20</v>
      </c>
      <c r="D211">
        <v>414</v>
      </c>
      <c r="E211" t="s">
        <v>47</v>
      </c>
      <c r="F211" t="s">
        <v>52</v>
      </c>
    </row>
    <row r="212" spans="1:6" x14ac:dyDescent="0.35">
      <c r="A212" s="2">
        <v>45425</v>
      </c>
      <c r="B212" t="s">
        <v>17</v>
      </c>
      <c r="C212" t="s">
        <v>40</v>
      </c>
      <c r="D212">
        <v>117</v>
      </c>
      <c r="E212" t="s">
        <v>47</v>
      </c>
      <c r="F212" t="s">
        <v>50</v>
      </c>
    </row>
    <row r="213" spans="1:6" x14ac:dyDescent="0.35">
      <c r="A213" s="2">
        <v>45425</v>
      </c>
      <c r="B213" t="s">
        <v>17</v>
      </c>
      <c r="C213" t="s">
        <v>40</v>
      </c>
      <c r="D213">
        <v>146</v>
      </c>
      <c r="E213" t="s">
        <v>47</v>
      </c>
      <c r="F213" t="s">
        <v>50</v>
      </c>
    </row>
    <row r="214" spans="1:6" x14ac:dyDescent="0.35">
      <c r="A214" s="2">
        <v>45426</v>
      </c>
      <c r="B214" t="s">
        <v>14</v>
      </c>
      <c r="C214" t="s">
        <v>36</v>
      </c>
      <c r="D214">
        <v>495</v>
      </c>
      <c r="E214" t="s">
        <v>47</v>
      </c>
      <c r="F214" t="s">
        <v>49</v>
      </c>
    </row>
    <row r="215" spans="1:6" x14ac:dyDescent="0.35">
      <c r="A215" s="2">
        <v>45426</v>
      </c>
      <c r="B215" t="s">
        <v>17</v>
      </c>
      <c r="C215" t="s">
        <v>40</v>
      </c>
      <c r="D215">
        <v>182</v>
      </c>
      <c r="E215" t="s">
        <v>47</v>
      </c>
      <c r="F215" t="s">
        <v>50</v>
      </c>
    </row>
    <row r="216" spans="1:6" x14ac:dyDescent="0.35">
      <c r="A216" s="2">
        <v>45427</v>
      </c>
      <c r="B216" t="s">
        <v>9</v>
      </c>
      <c r="C216" t="s">
        <v>22</v>
      </c>
      <c r="D216">
        <v>390</v>
      </c>
      <c r="E216" t="s">
        <v>47</v>
      </c>
      <c r="F216" t="s">
        <v>51</v>
      </c>
    </row>
    <row r="217" spans="1:6" x14ac:dyDescent="0.35">
      <c r="A217" s="2">
        <v>45428</v>
      </c>
      <c r="B217" t="s">
        <v>17</v>
      </c>
      <c r="C217" t="s">
        <v>37</v>
      </c>
      <c r="D217">
        <v>105</v>
      </c>
      <c r="E217" t="s">
        <v>47</v>
      </c>
      <c r="F217" t="s">
        <v>51</v>
      </c>
    </row>
    <row r="218" spans="1:6" x14ac:dyDescent="0.35">
      <c r="A218" s="2">
        <v>45428</v>
      </c>
      <c r="B218" t="s">
        <v>17</v>
      </c>
      <c r="C218" t="s">
        <v>37</v>
      </c>
      <c r="D218">
        <v>463</v>
      </c>
      <c r="E218" t="s">
        <v>47</v>
      </c>
      <c r="F218" t="s">
        <v>49</v>
      </c>
    </row>
    <row r="219" spans="1:6" x14ac:dyDescent="0.35">
      <c r="A219" s="2">
        <v>45429</v>
      </c>
      <c r="B219" t="s">
        <v>11</v>
      </c>
      <c r="C219" t="s">
        <v>42</v>
      </c>
      <c r="D219">
        <v>99</v>
      </c>
      <c r="E219" t="s">
        <v>47</v>
      </c>
      <c r="F219" t="s">
        <v>51</v>
      </c>
    </row>
    <row r="220" spans="1:6" x14ac:dyDescent="0.35">
      <c r="A220" s="2">
        <v>45430</v>
      </c>
      <c r="B220" t="s">
        <v>13</v>
      </c>
      <c r="C220" t="s">
        <v>27</v>
      </c>
      <c r="D220">
        <v>338</v>
      </c>
      <c r="E220" t="s">
        <v>47</v>
      </c>
      <c r="F220" t="s">
        <v>51</v>
      </c>
    </row>
    <row r="221" spans="1:6" x14ac:dyDescent="0.35">
      <c r="A221" s="2">
        <v>45430</v>
      </c>
      <c r="B221" t="s">
        <v>6</v>
      </c>
      <c r="C221" t="s">
        <v>19</v>
      </c>
      <c r="D221">
        <v>141</v>
      </c>
      <c r="E221" t="s">
        <v>47</v>
      </c>
      <c r="F221" t="s">
        <v>52</v>
      </c>
    </row>
    <row r="222" spans="1:6" x14ac:dyDescent="0.35">
      <c r="A222" s="2">
        <v>45431</v>
      </c>
      <c r="B222" t="s">
        <v>17</v>
      </c>
      <c r="C222" t="s">
        <v>40</v>
      </c>
      <c r="D222">
        <v>324</v>
      </c>
      <c r="E222" t="s">
        <v>47</v>
      </c>
      <c r="F222" t="s">
        <v>52</v>
      </c>
    </row>
    <row r="223" spans="1:6" x14ac:dyDescent="0.35">
      <c r="A223" s="2">
        <v>45432</v>
      </c>
      <c r="B223" t="s">
        <v>15</v>
      </c>
      <c r="C223" t="s">
        <v>30</v>
      </c>
      <c r="D223">
        <v>1372</v>
      </c>
      <c r="E223" t="s">
        <v>48</v>
      </c>
      <c r="F223" t="s">
        <v>51</v>
      </c>
    </row>
    <row r="224" spans="1:6" x14ac:dyDescent="0.35">
      <c r="A224" s="2">
        <v>45432</v>
      </c>
      <c r="B224" t="s">
        <v>11</v>
      </c>
      <c r="C224" t="s">
        <v>32</v>
      </c>
      <c r="D224">
        <v>169</v>
      </c>
      <c r="E224" t="s">
        <v>47</v>
      </c>
      <c r="F224" t="s">
        <v>51</v>
      </c>
    </row>
    <row r="225" spans="1:6" x14ac:dyDescent="0.35">
      <c r="A225" s="2">
        <v>45432</v>
      </c>
      <c r="B225" t="s">
        <v>11</v>
      </c>
      <c r="C225" t="s">
        <v>24</v>
      </c>
      <c r="D225">
        <v>82</v>
      </c>
      <c r="E225" t="s">
        <v>47</v>
      </c>
      <c r="F225" t="s">
        <v>52</v>
      </c>
    </row>
    <row r="226" spans="1:6" x14ac:dyDescent="0.35">
      <c r="A226" s="2">
        <v>45433</v>
      </c>
      <c r="B226" t="s">
        <v>9</v>
      </c>
      <c r="C226" t="s">
        <v>26</v>
      </c>
      <c r="D226">
        <v>406</v>
      </c>
      <c r="E226" t="s">
        <v>47</v>
      </c>
      <c r="F226" t="s">
        <v>50</v>
      </c>
    </row>
    <row r="227" spans="1:6" x14ac:dyDescent="0.35">
      <c r="A227" s="2">
        <v>45434</v>
      </c>
      <c r="B227" t="s">
        <v>11</v>
      </c>
      <c r="C227" t="s">
        <v>32</v>
      </c>
      <c r="D227">
        <v>426</v>
      </c>
      <c r="E227" t="s">
        <v>47</v>
      </c>
      <c r="F227" t="s">
        <v>51</v>
      </c>
    </row>
    <row r="228" spans="1:6" x14ac:dyDescent="0.35">
      <c r="A228" s="2">
        <v>45434</v>
      </c>
      <c r="B228" t="s">
        <v>12</v>
      </c>
      <c r="C228" t="s">
        <v>35</v>
      </c>
      <c r="D228">
        <v>147</v>
      </c>
      <c r="E228" t="s">
        <v>47</v>
      </c>
      <c r="F228" t="s">
        <v>51</v>
      </c>
    </row>
    <row r="229" spans="1:6" x14ac:dyDescent="0.35">
      <c r="A229" s="2">
        <v>45435</v>
      </c>
      <c r="B229" t="s">
        <v>12</v>
      </c>
      <c r="C229" t="s">
        <v>25</v>
      </c>
      <c r="D229">
        <v>466</v>
      </c>
      <c r="E229" t="s">
        <v>47</v>
      </c>
      <c r="F229" t="s">
        <v>51</v>
      </c>
    </row>
    <row r="230" spans="1:6" x14ac:dyDescent="0.35">
      <c r="A230" s="2">
        <v>45436</v>
      </c>
      <c r="B230" t="s">
        <v>12</v>
      </c>
      <c r="C230" t="s">
        <v>35</v>
      </c>
      <c r="D230">
        <v>202</v>
      </c>
      <c r="E230" t="s">
        <v>47</v>
      </c>
      <c r="F230" t="s">
        <v>52</v>
      </c>
    </row>
    <row r="231" spans="1:6" x14ac:dyDescent="0.35">
      <c r="A231" s="2">
        <v>45437</v>
      </c>
      <c r="B231" t="s">
        <v>6</v>
      </c>
      <c r="C231" t="s">
        <v>28</v>
      </c>
      <c r="D231">
        <v>452</v>
      </c>
      <c r="E231" t="s">
        <v>47</v>
      </c>
      <c r="F231" t="s">
        <v>50</v>
      </c>
    </row>
    <row r="232" spans="1:6" x14ac:dyDescent="0.35">
      <c r="A232" s="2">
        <v>45438</v>
      </c>
      <c r="B232" t="s">
        <v>17</v>
      </c>
      <c r="C232" t="s">
        <v>40</v>
      </c>
      <c r="D232">
        <v>482</v>
      </c>
      <c r="E232" t="s">
        <v>47</v>
      </c>
      <c r="F232" t="s">
        <v>49</v>
      </c>
    </row>
    <row r="233" spans="1:6" x14ac:dyDescent="0.35">
      <c r="A233" s="2">
        <v>45439</v>
      </c>
      <c r="B233" t="s">
        <v>8</v>
      </c>
      <c r="C233" t="s">
        <v>34</v>
      </c>
      <c r="D233">
        <v>101</v>
      </c>
      <c r="E233" t="s">
        <v>47</v>
      </c>
      <c r="F233" t="s">
        <v>51</v>
      </c>
    </row>
    <row r="234" spans="1:6" x14ac:dyDescent="0.35">
      <c r="A234" s="2">
        <v>45440</v>
      </c>
      <c r="B234" t="s">
        <v>17</v>
      </c>
      <c r="C234" t="s">
        <v>40</v>
      </c>
      <c r="D234">
        <v>200</v>
      </c>
      <c r="E234" t="s">
        <v>47</v>
      </c>
      <c r="F234" t="s">
        <v>52</v>
      </c>
    </row>
    <row r="235" spans="1:6" x14ac:dyDescent="0.35">
      <c r="A235" s="2">
        <v>45441</v>
      </c>
      <c r="B235" t="s">
        <v>9</v>
      </c>
      <c r="C235" t="s">
        <v>26</v>
      </c>
      <c r="D235">
        <v>122</v>
      </c>
      <c r="E235" t="s">
        <v>47</v>
      </c>
      <c r="F235" t="s">
        <v>52</v>
      </c>
    </row>
    <row r="236" spans="1:6" x14ac:dyDescent="0.35">
      <c r="A236" s="2">
        <v>45442</v>
      </c>
      <c r="B236" t="s">
        <v>14</v>
      </c>
      <c r="C236" t="s">
        <v>36</v>
      </c>
      <c r="D236">
        <v>220</v>
      </c>
      <c r="E236" t="s">
        <v>47</v>
      </c>
      <c r="F236" t="s">
        <v>50</v>
      </c>
    </row>
    <row r="237" spans="1:6" x14ac:dyDescent="0.35">
      <c r="A237" s="2">
        <v>45443</v>
      </c>
      <c r="B237" t="s">
        <v>6</v>
      </c>
      <c r="C237" t="s">
        <v>19</v>
      </c>
      <c r="D237">
        <v>161</v>
      </c>
      <c r="E237" t="s">
        <v>47</v>
      </c>
      <c r="F237" t="s">
        <v>49</v>
      </c>
    </row>
    <row r="238" spans="1:6" x14ac:dyDescent="0.35">
      <c r="A238" s="2">
        <v>45444</v>
      </c>
      <c r="B238" t="s">
        <v>13</v>
      </c>
      <c r="C238" t="s">
        <v>27</v>
      </c>
      <c r="D238">
        <v>415</v>
      </c>
      <c r="E238" t="s">
        <v>47</v>
      </c>
      <c r="F238" t="s">
        <v>49</v>
      </c>
    </row>
    <row r="239" spans="1:6" x14ac:dyDescent="0.35">
      <c r="A239" s="2">
        <v>45445</v>
      </c>
      <c r="B239" t="s">
        <v>14</v>
      </c>
      <c r="C239" t="s">
        <v>29</v>
      </c>
      <c r="D239">
        <v>303</v>
      </c>
      <c r="E239" t="s">
        <v>47</v>
      </c>
      <c r="F239" t="s">
        <v>49</v>
      </c>
    </row>
    <row r="240" spans="1:6" x14ac:dyDescent="0.35">
      <c r="A240" s="2">
        <v>45445</v>
      </c>
      <c r="B240" t="s">
        <v>7</v>
      </c>
      <c r="C240" t="s">
        <v>43</v>
      </c>
      <c r="D240">
        <v>258</v>
      </c>
      <c r="E240" t="s">
        <v>47</v>
      </c>
      <c r="F240" t="s">
        <v>52</v>
      </c>
    </row>
    <row r="241" spans="1:6" x14ac:dyDescent="0.35">
      <c r="A241" s="2">
        <v>45446</v>
      </c>
      <c r="B241" t="s">
        <v>6</v>
      </c>
      <c r="C241" t="s">
        <v>19</v>
      </c>
      <c r="D241">
        <v>307</v>
      </c>
      <c r="E241" t="s">
        <v>47</v>
      </c>
      <c r="F241" t="s">
        <v>52</v>
      </c>
    </row>
    <row r="242" spans="1:6" x14ac:dyDescent="0.35">
      <c r="A242" s="2">
        <v>45446</v>
      </c>
      <c r="B242" t="s">
        <v>9</v>
      </c>
      <c r="C242" t="s">
        <v>26</v>
      </c>
      <c r="D242">
        <v>108</v>
      </c>
      <c r="E242" t="s">
        <v>47</v>
      </c>
      <c r="F242" t="s">
        <v>52</v>
      </c>
    </row>
    <row r="243" spans="1:6" x14ac:dyDescent="0.35">
      <c r="A243" s="2">
        <v>45447</v>
      </c>
      <c r="B243" t="s">
        <v>6</v>
      </c>
      <c r="C243" t="s">
        <v>28</v>
      </c>
      <c r="D243">
        <v>175</v>
      </c>
      <c r="E243" t="s">
        <v>47</v>
      </c>
      <c r="F243" t="s">
        <v>50</v>
      </c>
    </row>
    <row r="244" spans="1:6" x14ac:dyDescent="0.35">
      <c r="A244" s="2">
        <v>45448</v>
      </c>
      <c r="B244" t="s">
        <v>14</v>
      </c>
      <c r="C244" t="s">
        <v>36</v>
      </c>
      <c r="D244">
        <v>380</v>
      </c>
      <c r="E244" t="s">
        <v>47</v>
      </c>
      <c r="F244" t="s">
        <v>51</v>
      </c>
    </row>
    <row r="245" spans="1:6" x14ac:dyDescent="0.35">
      <c r="A245" s="2">
        <v>45448</v>
      </c>
      <c r="B245" t="s">
        <v>6</v>
      </c>
      <c r="C245" t="s">
        <v>19</v>
      </c>
      <c r="D245">
        <v>110</v>
      </c>
      <c r="E245" t="s">
        <v>47</v>
      </c>
      <c r="F245" t="s">
        <v>51</v>
      </c>
    </row>
    <row r="246" spans="1:6" x14ac:dyDescent="0.35">
      <c r="A246" s="2">
        <v>45449</v>
      </c>
      <c r="B246" t="s">
        <v>10</v>
      </c>
      <c r="C246" t="s">
        <v>33</v>
      </c>
      <c r="D246">
        <v>55</v>
      </c>
      <c r="E246" t="s">
        <v>47</v>
      </c>
      <c r="F246" t="s">
        <v>51</v>
      </c>
    </row>
    <row r="247" spans="1:6" x14ac:dyDescent="0.35">
      <c r="A247" s="2">
        <v>45449</v>
      </c>
      <c r="B247" t="s">
        <v>6</v>
      </c>
      <c r="C247" t="s">
        <v>19</v>
      </c>
      <c r="D247">
        <v>218</v>
      </c>
      <c r="E247" t="s">
        <v>47</v>
      </c>
      <c r="F247" t="s">
        <v>49</v>
      </c>
    </row>
    <row r="248" spans="1:6" x14ac:dyDescent="0.35">
      <c r="A248" s="2">
        <v>45450</v>
      </c>
      <c r="B248" t="s">
        <v>7</v>
      </c>
      <c r="C248" t="s">
        <v>39</v>
      </c>
      <c r="D248">
        <v>350</v>
      </c>
      <c r="E248" t="s">
        <v>47</v>
      </c>
      <c r="F248" t="s">
        <v>52</v>
      </c>
    </row>
    <row r="249" spans="1:6" x14ac:dyDescent="0.35">
      <c r="A249" s="2">
        <v>45450</v>
      </c>
      <c r="B249" t="s">
        <v>14</v>
      </c>
      <c r="C249" t="s">
        <v>29</v>
      </c>
      <c r="D249">
        <v>475</v>
      </c>
      <c r="E249" t="s">
        <v>47</v>
      </c>
      <c r="F249" t="s">
        <v>51</v>
      </c>
    </row>
    <row r="250" spans="1:6" x14ac:dyDescent="0.35">
      <c r="A250" s="2">
        <v>45451</v>
      </c>
      <c r="B250" t="s">
        <v>12</v>
      </c>
      <c r="C250" t="s">
        <v>35</v>
      </c>
      <c r="D250">
        <v>428</v>
      </c>
      <c r="E250" t="s">
        <v>47</v>
      </c>
      <c r="F250" t="s">
        <v>49</v>
      </c>
    </row>
    <row r="251" spans="1:6" x14ac:dyDescent="0.35">
      <c r="A251" s="2">
        <v>45451</v>
      </c>
      <c r="B251" t="s">
        <v>7</v>
      </c>
      <c r="C251" t="s">
        <v>43</v>
      </c>
      <c r="D251">
        <v>461</v>
      </c>
      <c r="E251" t="s">
        <v>47</v>
      </c>
      <c r="F251" t="s">
        <v>51</v>
      </c>
    </row>
    <row r="252" spans="1:6" x14ac:dyDescent="0.35">
      <c r="A252" s="2">
        <v>45452</v>
      </c>
      <c r="B252" t="s">
        <v>10</v>
      </c>
      <c r="C252" t="s">
        <v>23</v>
      </c>
      <c r="D252">
        <v>158</v>
      </c>
      <c r="E252" t="s">
        <v>47</v>
      </c>
      <c r="F252" t="s">
        <v>51</v>
      </c>
    </row>
    <row r="253" spans="1:6" x14ac:dyDescent="0.35">
      <c r="A253" s="2">
        <v>45452</v>
      </c>
      <c r="B253" t="s">
        <v>11</v>
      </c>
      <c r="C253" t="s">
        <v>24</v>
      </c>
      <c r="D253">
        <v>248</v>
      </c>
      <c r="E253" t="s">
        <v>47</v>
      </c>
      <c r="F253" t="s">
        <v>51</v>
      </c>
    </row>
    <row r="254" spans="1:6" x14ac:dyDescent="0.35">
      <c r="A254" s="2">
        <v>45453</v>
      </c>
      <c r="B254" t="s">
        <v>13</v>
      </c>
      <c r="C254" t="s">
        <v>27</v>
      </c>
      <c r="D254">
        <v>395</v>
      </c>
      <c r="E254" t="s">
        <v>47</v>
      </c>
      <c r="F254" t="s">
        <v>52</v>
      </c>
    </row>
    <row r="255" spans="1:6" x14ac:dyDescent="0.35">
      <c r="A255" s="2">
        <v>45453</v>
      </c>
      <c r="B255" t="s">
        <v>13</v>
      </c>
      <c r="C255" t="s">
        <v>27</v>
      </c>
      <c r="D255">
        <v>351</v>
      </c>
      <c r="E255" t="s">
        <v>47</v>
      </c>
      <c r="F255" t="s">
        <v>51</v>
      </c>
    </row>
    <row r="256" spans="1:6" x14ac:dyDescent="0.35">
      <c r="A256" s="2">
        <v>45454</v>
      </c>
      <c r="B256" t="s">
        <v>11</v>
      </c>
      <c r="C256" t="s">
        <v>42</v>
      </c>
      <c r="D256">
        <v>156</v>
      </c>
      <c r="E256" t="s">
        <v>47</v>
      </c>
      <c r="F256" t="s">
        <v>51</v>
      </c>
    </row>
    <row r="257" spans="1:6" x14ac:dyDescent="0.35">
      <c r="A257" s="2">
        <v>45455</v>
      </c>
      <c r="B257" t="s">
        <v>7</v>
      </c>
      <c r="C257" t="s">
        <v>39</v>
      </c>
      <c r="D257">
        <v>181</v>
      </c>
      <c r="E257" t="s">
        <v>47</v>
      </c>
      <c r="F257" t="s">
        <v>51</v>
      </c>
    </row>
    <row r="258" spans="1:6" x14ac:dyDescent="0.35">
      <c r="A258" s="2">
        <v>45455</v>
      </c>
      <c r="B258" t="s">
        <v>8</v>
      </c>
      <c r="C258" t="s">
        <v>21</v>
      </c>
      <c r="D258">
        <v>160</v>
      </c>
      <c r="E258" t="s">
        <v>47</v>
      </c>
      <c r="F258" t="s">
        <v>52</v>
      </c>
    </row>
    <row r="259" spans="1:6" x14ac:dyDescent="0.35">
      <c r="A259" s="2">
        <v>45456</v>
      </c>
      <c r="B259" t="s">
        <v>17</v>
      </c>
      <c r="C259" t="s">
        <v>40</v>
      </c>
      <c r="D259">
        <v>365</v>
      </c>
      <c r="E259" t="s">
        <v>47</v>
      </c>
      <c r="F259" t="s">
        <v>51</v>
      </c>
    </row>
    <row r="260" spans="1:6" x14ac:dyDescent="0.35">
      <c r="A260" s="2">
        <v>45457</v>
      </c>
      <c r="B260" t="s">
        <v>6</v>
      </c>
      <c r="C260" t="s">
        <v>19</v>
      </c>
      <c r="D260">
        <v>331</v>
      </c>
      <c r="E260" t="s">
        <v>47</v>
      </c>
      <c r="F260" t="s">
        <v>51</v>
      </c>
    </row>
    <row r="261" spans="1:6" x14ac:dyDescent="0.35">
      <c r="A261" s="2">
        <v>45457</v>
      </c>
      <c r="B261" t="s">
        <v>12</v>
      </c>
      <c r="C261" t="s">
        <v>35</v>
      </c>
      <c r="D261">
        <v>383</v>
      </c>
      <c r="E261" t="s">
        <v>47</v>
      </c>
      <c r="F261" t="s">
        <v>50</v>
      </c>
    </row>
    <row r="262" spans="1:6" x14ac:dyDescent="0.35">
      <c r="A262" s="2">
        <v>45458</v>
      </c>
      <c r="B262" t="s">
        <v>17</v>
      </c>
      <c r="C262" t="s">
        <v>37</v>
      </c>
      <c r="D262">
        <v>481</v>
      </c>
      <c r="E262" t="s">
        <v>47</v>
      </c>
      <c r="F262" t="s">
        <v>52</v>
      </c>
    </row>
    <row r="263" spans="1:6" x14ac:dyDescent="0.35">
      <c r="A263" s="2">
        <v>45458</v>
      </c>
      <c r="B263" t="s">
        <v>6</v>
      </c>
      <c r="C263" t="s">
        <v>19</v>
      </c>
      <c r="D263">
        <v>22</v>
      </c>
      <c r="E263" t="s">
        <v>47</v>
      </c>
      <c r="F263" t="s">
        <v>51</v>
      </c>
    </row>
    <row r="264" spans="1:6" x14ac:dyDescent="0.35">
      <c r="A264" s="2">
        <v>45459</v>
      </c>
      <c r="B264" t="s">
        <v>13</v>
      </c>
      <c r="C264" t="s">
        <v>27</v>
      </c>
      <c r="D264">
        <v>198</v>
      </c>
      <c r="E264" t="s">
        <v>47</v>
      </c>
      <c r="F264" t="s">
        <v>52</v>
      </c>
    </row>
    <row r="265" spans="1:6" x14ac:dyDescent="0.35">
      <c r="A265" s="2">
        <v>45460</v>
      </c>
      <c r="B265" t="s">
        <v>8</v>
      </c>
      <c r="C265" t="s">
        <v>34</v>
      </c>
      <c r="D265">
        <v>323</v>
      </c>
      <c r="E265" t="s">
        <v>47</v>
      </c>
      <c r="F265" t="s">
        <v>50</v>
      </c>
    </row>
    <row r="266" spans="1:6" x14ac:dyDescent="0.35">
      <c r="A266" s="2">
        <v>45460</v>
      </c>
      <c r="B266" t="s">
        <v>17</v>
      </c>
      <c r="C266" t="s">
        <v>40</v>
      </c>
      <c r="D266">
        <v>417</v>
      </c>
      <c r="E266" t="s">
        <v>47</v>
      </c>
      <c r="F266" t="s">
        <v>49</v>
      </c>
    </row>
    <row r="267" spans="1:6" x14ac:dyDescent="0.35">
      <c r="A267" s="2">
        <v>45461</v>
      </c>
      <c r="B267" t="s">
        <v>9</v>
      </c>
      <c r="C267" t="s">
        <v>22</v>
      </c>
      <c r="D267">
        <v>471</v>
      </c>
      <c r="E267" t="s">
        <v>47</v>
      </c>
      <c r="F267" t="s">
        <v>52</v>
      </c>
    </row>
    <row r="268" spans="1:6" x14ac:dyDescent="0.35">
      <c r="A268" s="2">
        <v>45461</v>
      </c>
      <c r="B268" t="s">
        <v>13</v>
      </c>
      <c r="C268" t="s">
        <v>27</v>
      </c>
      <c r="D268">
        <v>384</v>
      </c>
      <c r="E268" t="s">
        <v>47</v>
      </c>
      <c r="F268" t="s">
        <v>51</v>
      </c>
    </row>
    <row r="269" spans="1:6" x14ac:dyDescent="0.35">
      <c r="A269" s="2">
        <v>45462</v>
      </c>
      <c r="B269" t="s">
        <v>18</v>
      </c>
      <c r="C269" t="s">
        <v>46</v>
      </c>
      <c r="D269">
        <v>3920</v>
      </c>
      <c r="E269" t="s">
        <v>48</v>
      </c>
      <c r="F269" t="s">
        <v>50</v>
      </c>
    </row>
    <row r="270" spans="1:6" x14ac:dyDescent="0.35">
      <c r="A270" s="2">
        <v>45462</v>
      </c>
      <c r="B270" t="s">
        <v>10</v>
      </c>
      <c r="C270" t="s">
        <v>23</v>
      </c>
      <c r="D270">
        <v>327</v>
      </c>
      <c r="E270" t="s">
        <v>47</v>
      </c>
      <c r="F270" t="s">
        <v>50</v>
      </c>
    </row>
    <row r="271" spans="1:6" x14ac:dyDescent="0.35">
      <c r="A271" s="2">
        <v>45463</v>
      </c>
      <c r="B271" t="s">
        <v>6</v>
      </c>
      <c r="C271" t="s">
        <v>28</v>
      </c>
      <c r="D271">
        <v>253</v>
      </c>
      <c r="E271" t="s">
        <v>47</v>
      </c>
      <c r="F271" t="s">
        <v>49</v>
      </c>
    </row>
    <row r="272" spans="1:6" x14ac:dyDescent="0.35">
      <c r="A272" s="2">
        <v>45464</v>
      </c>
      <c r="B272" t="s">
        <v>17</v>
      </c>
      <c r="C272" t="s">
        <v>40</v>
      </c>
      <c r="D272">
        <v>499</v>
      </c>
      <c r="E272" t="s">
        <v>47</v>
      </c>
      <c r="F272" t="s">
        <v>50</v>
      </c>
    </row>
    <row r="273" spans="1:6" x14ac:dyDescent="0.35">
      <c r="A273" s="2">
        <v>45465</v>
      </c>
      <c r="B273" t="s">
        <v>6</v>
      </c>
      <c r="C273" t="s">
        <v>28</v>
      </c>
      <c r="D273">
        <v>292</v>
      </c>
      <c r="E273" t="s">
        <v>47</v>
      </c>
      <c r="F273" t="s">
        <v>50</v>
      </c>
    </row>
    <row r="274" spans="1:6" x14ac:dyDescent="0.35">
      <c r="A274" s="2">
        <v>45465</v>
      </c>
      <c r="B274" t="s">
        <v>14</v>
      </c>
      <c r="C274" t="s">
        <v>36</v>
      </c>
      <c r="D274">
        <v>186</v>
      </c>
      <c r="E274" t="s">
        <v>47</v>
      </c>
      <c r="F274" t="s">
        <v>51</v>
      </c>
    </row>
    <row r="275" spans="1:6" x14ac:dyDescent="0.35">
      <c r="A275" s="2">
        <v>45466</v>
      </c>
      <c r="B275" t="s">
        <v>13</v>
      </c>
      <c r="C275" t="s">
        <v>27</v>
      </c>
      <c r="D275">
        <v>11</v>
      </c>
      <c r="E275" t="s">
        <v>47</v>
      </c>
      <c r="F275" t="s">
        <v>52</v>
      </c>
    </row>
    <row r="276" spans="1:6" x14ac:dyDescent="0.35">
      <c r="A276" s="2">
        <v>45467</v>
      </c>
      <c r="B276" t="s">
        <v>7</v>
      </c>
      <c r="C276" t="s">
        <v>43</v>
      </c>
      <c r="D276">
        <v>116</v>
      </c>
      <c r="E276" t="s">
        <v>47</v>
      </c>
      <c r="F276" t="s">
        <v>51</v>
      </c>
    </row>
    <row r="277" spans="1:6" x14ac:dyDescent="0.35">
      <c r="A277" s="2">
        <v>45468</v>
      </c>
      <c r="B277" t="s">
        <v>13</v>
      </c>
      <c r="C277" t="s">
        <v>27</v>
      </c>
      <c r="D277">
        <v>6</v>
      </c>
      <c r="E277" t="s">
        <v>47</v>
      </c>
      <c r="F277" t="s">
        <v>51</v>
      </c>
    </row>
    <row r="278" spans="1:6" x14ac:dyDescent="0.35">
      <c r="A278" s="2">
        <v>45469</v>
      </c>
      <c r="B278" t="s">
        <v>9</v>
      </c>
      <c r="C278" t="s">
        <v>26</v>
      </c>
      <c r="D278">
        <v>390</v>
      </c>
      <c r="E278" t="s">
        <v>47</v>
      </c>
      <c r="F278" t="s">
        <v>49</v>
      </c>
    </row>
    <row r="279" spans="1:6" x14ac:dyDescent="0.35">
      <c r="A279" s="2">
        <v>45469</v>
      </c>
      <c r="B279" t="s">
        <v>12</v>
      </c>
      <c r="C279" t="s">
        <v>35</v>
      </c>
      <c r="D279">
        <v>400</v>
      </c>
      <c r="E279" t="s">
        <v>47</v>
      </c>
      <c r="F279" t="s">
        <v>50</v>
      </c>
    </row>
    <row r="280" spans="1:6" x14ac:dyDescent="0.35">
      <c r="A280" s="2">
        <v>45470</v>
      </c>
      <c r="B280" t="s">
        <v>10</v>
      </c>
      <c r="C280" t="s">
        <v>33</v>
      </c>
      <c r="D280">
        <v>57</v>
      </c>
      <c r="E280" t="s">
        <v>47</v>
      </c>
      <c r="F280" t="s">
        <v>50</v>
      </c>
    </row>
    <row r="281" spans="1:6" x14ac:dyDescent="0.35">
      <c r="A281" s="2">
        <v>45470</v>
      </c>
      <c r="B281" t="s">
        <v>11</v>
      </c>
      <c r="C281" t="s">
        <v>42</v>
      </c>
      <c r="D281">
        <v>346</v>
      </c>
      <c r="E281" t="s">
        <v>47</v>
      </c>
      <c r="F281" t="s">
        <v>50</v>
      </c>
    </row>
    <row r="282" spans="1:6" x14ac:dyDescent="0.35">
      <c r="A282" s="2">
        <v>45471</v>
      </c>
      <c r="B282" t="s">
        <v>6</v>
      </c>
      <c r="C282" t="s">
        <v>19</v>
      </c>
      <c r="D282">
        <v>498</v>
      </c>
      <c r="E282" t="s">
        <v>47</v>
      </c>
      <c r="F282" t="s">
        <v>49</v>
      </c>
    </row>
    <row r="283" spans="1:6" x14ac:dyDescent="0.35">
      <c r="A283" s="2">
        <v>45471</v>
      </c>
      <c r="B283" t="s">
        <v>17</v>
      </c>
      <c r="C283" t="s">
        <v>40</v>
      </c>
      <c r="D283">
        <v>119</v>
      </c>
      <c r="E283" t="s">
        <v>47</v>
      </c>
      <c r="F283" t="s">
        <v>51</v>
      </c>
    </row>
    <row r="284" spans="1:6" x14ac:dyDescent="0.35">
      <c r="A284" s="2">
        <v>45472</v>
      </c>
      <c r="B284" t="s">
        <v>13</v>
      </c>
      <c r="C284" t="s">
        <v>27</v>
      </c>
      <c r="D284">
        <v>241</v>
      </c>
      <c r="E284" t="s">
        <v>47</v>
      </c>
      <c r="F284" t="s">
        <v>51</v>
      </c>
    </row>
    <row r="285" spans="1:6" x14ac:dyDescent="0.35">
      <c r="A285" s="2">
        <v>45472</v>
      </c>
      <c r="B285" t="s">
        <v>12</v>
      </c>
      <c r="C285" t="s">
        <v>35</v>
      </c>
      <c r="D285">
        <v>250</v>
      </c>
      <c r="E285" t="s">
        <v>47</v>
      </c>
      <c r="F285" t="s">
        <v>52</v>
      </c>
    </row>
    <row r="286" spans="1:6" x14ac:dyDescent="0.35">
      <c r="A286" s="2">
        <v>45473</v>
      </c>
      <c r="B286" t="s">
        <v>9</v>
      </c>
      <c r="C286" t="s">
        <v>22</v>
      </c>
      <c r="D286">
        <v>33</v>
      </c>
      <c r="E286" t="s">
        <v>47</v>
      </c>
      <c r="F286" t="s">
        <v>51</v>
      </c>
    </row>
    <row r="287" spans="1:6" x14ac:dyDescent="0.35">
      <c r="A287" s="2">
        <v>45473</v>
      </c>
      <c r="B287" t="s">
        <v>13</v>
      </c>
      <c r="C287" t="s">
        <v>27</v>
      </c>
      <c r="D287">
        <v>219</v>
      </c>
      <c r="E287" t="s">
        <v>47</v>
      </c>
      <c r="F287" t="s">
        <v>51</v>
      </c>
    </row>
    <row r="288" spans="1:6" x14ac:dyDescent="0.35">
      <c r="A288" s="2">
        <v>45474</v>
      </c>
      <c r="B288" t="s">
        <v>18</v>
      </c>
      <c r="C288" t="s">
        <v>44</v>
      </c>
      <c r="D288">
        <v>2589</v>
      </c>
      <c r="E288" t="s">
        <v>48</v>
      </c>
      <c r="F288" t="s">
        <v>50</v>
      </c>
    </row>
    <row r="289" spans="1:6" x14ac:dyDescent="0.35">
      <c r="A289" s="2">
        <v>45474</v>
      </c>
      <c r="B289" t="s">
        <v>8</v>
      </c>
      <c r="C289" t="s">
        <v>21</v>
      </c>
      <c r="D289">
        <v>21</v>
      </c>
      <c r="E289" t="s">
        <v>47</v>
      </c>
      <c r="F289" t="s">
        <v>51</v>
      </c>
    </row>
    <row r="290" spans="1:6" x14ac:dyDescent="0.35">
      <c r="A290" s="2">
        <v>45475</v>
      </c>
      <c r="B290" t="s">
        <v>12</v>
      </c>
      <c r="C290" t="s">
        <v>35</v>
      </c>
      <c r="D290">
        <v>366</v>
      </c>
      <c r="E290" t="s">
        <v>47</v>
      </c>
      <c r="F290" t="s">
        <v>52</v>
      </c>
    </row>
    <row r="291" spans="1:6" x14ac:dyDescent="0.35">
      <c r="A291" s="2">
        <v>45475</v>
      </c>
      <c r="B291" t="s">
        <v>7</v>
      </c>
      <c r="C291" t="s">
        <v>43</v>
      </c>
      <c r="D291">
        <v>317</v>
      </c>
      <c r="E291" t="s">
        <v>47</v>
      </c>
      <c r="F291" t="s">
        <v>49</v>
      </c>
    </row>
    <row r="292" spans="1:6" x14ac:dyDescent="0.35">
      <c r="A292" s="2">
        <v>45476</v>
      </c>
      <c r="B292" t="s">
        <v>13</v>
      </c>
      <c r="C292" t="s">
        <v>27</v>
      </c>
      <c r="D292">
        <v>272</v>
      </c>
      <c r="E292" t="s">
        <v>47</v>
      </c>
      <c r="F292" t="s">
        <v>51</v>
      </c>
    </row>
    <row r="293" spans="1:6" x14ac:dyDescent="0.35">
      <c r="A293" s="2">
        <v>45476</v>
      </c>
      <c r="B293" t="s">
        <v>10</v>
      </c>
      <c r="C293" t="s">
        <v>23</v>
      </c>
      <c r="D293">
        <v>459</v>
      </c>
      <c r="E293" t="s">
        <v>47</v>
      </c>
      <c r="F293" t="s">
        <v>52</v>
      </c>
    </row>
    <row r="294" spans="1:6" x14ac:dyDescent="0.35">
      <c r="A294" s="2">
        <v>45477</v>
      </c>
      <c r="B294" t="s">
        <v>7</v>
      </c>
      <c r="C294" t="s">
        <v>20</v>
      </c>
      <c r="D294">
        <v>126</v>
      </c>
      <c r="E294" t="s">
        <v>47</v>
      </c>
      <c r="F294" t="s">
        <v>52</v>
      </c>
    </row>
    <row r="295" spans="1:6" x14ac:dyDescent="0.35">
      <c r="A295" s="2">
        <v>45477</v>
      </c>
      <c r="B295" t="s">
        <v>13</v>
      </c>
      <c r="C295" t="s">
        <v>27</v>
      </c>
      <c r="D295">
        <v>314</v>
      </c>
      <c r="E295" t="s">
        <v>47</v>
      </c>
      <c r="F295" t="s">
        <v>49</v>
      </c>
    </row>
    <row r="296" spans="1:6" x14ac:dyDescent="0.35">
      <c r="A296" s="2">
        <v>45478</v>
      </c>
      <c r="B296" t="s">
        <v>14</v>
      </c>
      <c r="C296" t="s">
        <v>41</v>
      </c>
      <c r="D296">
        <v>286</v>
      </c>
      <c r="E296" t="s">
        <v>47</v>
      </c>
      <c r="F296" t="s">
        <v>51</v>
      </c>
    </row>
    <row r="297" spans="1:6" x14ac:dyDescent="0.35">
      <c r="A297" s="2">
        <v>45479</v>
      </c>
      <c r="B297" t="s">
        <v>14</v>
      </c>
      <c r="C297" t="s">
        <v>36</v>
      </c>
      <c r="D297">
        <v>191</v>
      </c>
      <c r="E297" t="s">
        <v>47</v>
      </c>
      <c r="F297" t="s">
        <v>49</v>
      </c>
    </row>
    <row r="298" spans="1:6" x14ac:dyDescent="0.35">
      <c r="A298" s="2">
        <v>45479</v>
      </c>
      <c r="B298" t="s">
        <v>6</v>
      </c>
      <c r="C298" t="s">
        <v>19</v>
      </c>
      <c r="D298">
        <v>314</v>
      </c>
      <c r="E298" t="s">
        <v>47</v>
      </c>
      <c r="F298" t="s">
        <v>52</v>
      </c>
    </row>
    <row r="299" spans="1:6" x14ac:dyDescent="0.35">
      <c r="A299" s="2">
        <v>45480</v>
      </c>
      <c r="B299" t="s">
        <v>8</v>
      </c>
      <c r="C299" t="s">
        <v>21</v>
      </c>
      <c r="D299">
        <v>73</v>
      </c>
      <c r="E299" t="s">
        <v>47</v>
      </c>
      <c r="F299" t="s">
        <v>50</v>
      </c>
    </row>
    <row r="300" spans="1:6" x14ac:dyDescent="0.35">
      <c r="A300" s="2">
        <v>45480</v>
      </c>
      <c r="B300" t="s">
        <v>17</v>
      </c>
      <c r="C300" t="s">
        <v>40</v>
      </c>
      <c r="D300">
        <v>40</v>
      </c>
      <c r="E300" t="s">
        <v>47</v>
      </c>
      <c r="F300" t="s">
        <v>49</v>
      </c>
    </row>
    <row r="301" spans="1:6" x14ac:dyDescent="0.35">
      <c r="A301" s="2">
        <v>45481</v>
      </c>
      <c r="B301" t="s">
        <v>14</v>
      </c>
      <c r="C301" t="s">
        <v>41</v>
      </c>
      <c r="D301">
        <v>341</v>
      </c>
      <c r="E301" t="s">
        <v>47</v>
      </c>
      <c r="F301" t="s">
        <v>52</v>
      </c>
    </row>
    <row r="302" spans="1:6" x14ac:dyDescent="0.35">
      <c r="A302" s="2">
        <v>45482</v>
      </c>
      <c r="B302" t="s">
        <v>13</v>
      </c>
      <c r="C302" t="s">
        <v>27</v>
      </c>
      <c r="D302">
        <v>205</v>
      </c>
      <c r="E302" t="s">
        <v>47</v>
      </c>
      <c r="F302" t="s">
        <v>52</v>
      </c>
    </row>
    <row r="303" spans="1:6" x14ac:dyDescent="0.35">
      <c r="A303" s="2">
        <v>45483</v>
      </c>
      <c r="B303" t="s">
        <v>10</v>
      </c>
      <c r="C303" t="s">
        <v>33</v>
      </c>
      <c r="D303">
        <v>21</v>
      </c>
      <c r="E303" t="s">
        <v>47</v>
      </c>
      <c r="F303" t="s">
        <v>51</v>
      </c>
    </row>
    <row r="304" spans="1:6" x14ac:dyDescent="0.35">
      <c r="A304" s="2">
        <v>45484</v>
      </c>
      <c r="B304" t="s">
        <v>6</v>
      </c>
      <c r="C304" t="s">
        <v>28</v>
      </c>
      <c r="D304">
        <v>29</v>
      </c>
      <c r="E304" t="s">
        <v>47</v>
      </c>
      <c r="F304" t="s">
        <v>49</v>
      </c>
    </row>
    <row r="305" spans="1:6" x14ac:dyDescent="0.35">
      <c r="A305" s="2">
        <v>45485</v>
      </c>
      <c r="B305" t="s">
        <v>18</v>
      </c>
      <c r="C305" t="s">
        <v>46</v>
      </c>
      <c r="D305">
        <v>607</v>
      </c>
      <c r="E305" t="s">
        <v>48</v>
      </c>
      <c r="F305" t="s">
        <v>50</v>
      </c>
    </row>
    <row r="306" spans="1:6" x14ac:dyDescent="0.35">
      <c r="A306" s="2">
        <v>45485</v>
      </c>
      <c r="B306" t="s">
        <v>8</v>
      </c>
      <c r="C306" t="s">
        <v>21</v>
      </c>
      <c r="D306">
        <v>16</v>
      </c>
      <c r="E306" t="s">
        <v>47</v>
      </c>
      <c r="F306" t="s">
        <v>49</v>
      </c>
    </row>
    <row r="307" spans="1:6" x14ac:dyDescent="0.35">
      <c r="A307" s="2">
        <v>45486</v>
      </c>
      <c r="B307" t="s">
        <v>17</v>
      </c>
      <c r="C307" t="s">
        <v>37</v>
      </c>
      <c r="D307">
        <v>21</v>
      </c>
      <c r="E307" t="s">
        <v>47</v>
      </c>
      <c r="F307" t="s">
        <v>52</v>
      </c>
    </row>
    <row r="308" spans="1:6" x14ac:dyDescent="0.35">
      <c r="A308" s="2">
        <v>45487</v>
      </c>
      <c r="B308" t="s">
        <v>6</v>
      </c>
      <c r="C308" t="s">
        <v>19</v>
      </c>
      <c r="D308">
        <v>268</v>
      </c>
      <c r="E308" t="s">
        <v>47</v>
      </c>
      <c r="F308" t="s">
        <v>49</v>
      </c>
    </row>
    <row r="309" spans="1:6" x14ac:dyDescent="0.35">
      <c r="A309" s="2">
        <v>45488</v>
      </c>
      <c r="B309" t="s">
        <v>7</v>
      </c>
      <c r="C309" t="s">
        <v>20</v>
      </c>
      <c r="D309">
        <v>468</v>
      </c>
      <c r="E309" t="s">
        <v>47</v>
      </c>
      <c r="F309" t="s">
        <v>52</v>
      </c>
    </row>
    <row r="310" spans="1:6" x14ac:dyDescent="0.35">
      <c r="A310" s="2">
        <v>45489</v>
      </c>
      <c r="B310" t="s">
        <v>10</v>
      </c>
      <c r="C310" t="s">
        <v>33</v>
      </c>
      <c r="D310">
        <v>147</v>
      </c>
      <c r="E310" t="s">
        <v>47</v>
      </c>
      <c r="F310" t="s">
        <v>49</v>
      </c>
    </row>
    <row r="311" spans="1:6" x14ac:dyDescent="0.35">
      <c r="A311" s="2">
        <v>45489</v>
      </c>
      <c r="B311" t="s">
        <v>9</v>
      </c>
      <c r="C311" t="s">
        <v>26</v>
      </c>
      <c r="D311">
        <v>369</v>
      </c>
      <c r="E311" t="s">
        <v>47</v>
      </c>
      <c r="F311" t="s">
        <v>52</v>
      </c>
    </row>
    <row r="312" spans="1:6" x14ac:dyDescent="0.35">
      <c r="A312" s="2">
        <v>45490</v>
      </c>
      <c r="B312" t="s">
        <v>18</v>
      </c>
      <c r="C312" t="s">
        <v>44</v>
      </c>
      <c r="D312">
        <v>1210</v>
      </c>
      <c r="E312" t="s">
        <v>48</v>
      </c>
      <c r="F312" t="s">
        <v>51</v>
      </c>
    </row>
    <row r="313" spans="1:6" x14ac:dyDescent="0.35">
      <c r="A313" s="2">
        <v>45490</v>
      </c>
      <c r="B313" t="s">
        <v>9</v>
      </c>
      <c r="C313" t="s">
        <v>26</v>
      </c>
      <c r="D313">
        <v>90</v>
      </c>
      <c r="E313" t="s">
        <v>47</v>
      </c>
      <c r="F313" t="s">
        <v>52</v>
      </c>
    </row>
    <row r="314" spans="1:6" x14ac:dyDescent="0.35">
      <c r="A314" s="2">
        <v>45491</v>
      </c>
      <c r="B314" t="s">
        <v>7</v>
      </c>
      <c r="C314" t="s">
        <v>43</v>
      </c>
      <c r="D314">
        <v>141</v>
      </c>
      <c r="E314" t="s">
        <v>47</v>
      </c>
      <c r="F314" t="s">
        <v>49</v>
      </c>
    </row>
    <row r="315" spans="1:6" x14ac:dyDescent="0.35">
      <c r="A315" s="2">
        <v>45492</v>
      </c>
      <c r="B315" t="s">
        <v>12</v>
      </c>
      <c r="C315" t="s">
        <v>35</v>
      </c>
      <c r="D315">
        <v>86</v>
      </c>
      <c r="E315" t="s">
        <v>47</v>
      </c>
      <c r="F315" t="s">
        <v>49</v>
      </c>
    </row>
    <row r="316" spans="1:6" x14ac:dyDescent="0.35">
      <c r="A316" s="2">
        <v>45492</v>
      </c>
      <c r="B316" t="s">
        <v>14</v>
      </c>
      <c r="C316" t="s">
        <v>41</v>
      </c>
      <c r="D316">
        <v>487</v>
      </c>
      <c r="E316" t="s">
        <v>47</v>
      </c>
      <c r="F316" t="s">
        <v>52</v>
      </c>
    </row>
    <row r="317" spans="1:6" x14ac:dyDescent="0.35">
      <c r="A317" s="2">
        <v>45493</v>
      </c>
      <c r="B317" t="s">
        <v>17</v>
      </c>
      <c r="C317" t="s">
        <v>40</v>
      </c>
      <c r="D317">
        <v>163</v>
      </c>
      <c r="E317" t="s">
        <v>47</v>
      </c>
      <c r="F317" t="s">
        <v>50</v>
      </c>
    </row>
    <row r="318" spans="1:6" x14ac:dyDescent="0.35">
      <c r="A318" s="2">
        <v>45494</v>
      </c>
      <c r="B318" t="s">
        <v>13</v>
      </c>
      <c r="C318" t="s">
        <v>27</v>
      </c>
      <c r="D318">
        <v>135</v>
      </c>
      <c r="E318" t="s">
        <v>47</v>
      </c>
      <c r="F318" t="s">
        <v>51</v>
      </c>
    </row>
    <row r="319" spans="1:6" x14ac:dyDescent="0.35">
      <c r="A319" s="2">
        <v>45494</v>
      </c>
      <c r="B319" t="s">
        <v>6</v>
      </c>
      <c r="C319" t="s">
        <v>28</v>
      </c>
      <c r="D319">
        <v>187</v>
      </c>
      <c r="E319" t="s">
        <v>47</v>
      </c>
      <c r="F319" t="s">
        <v>49</v>
      </c>
    </row>
    <row r="320" spans="1:6" x14ac:dyDescent="0.35">
      <c r="A320" s="2">
        <v>45495</v>
      </c>
      <c r="B320" t="s">
        <v>16</v>
      </c>
      <c r="C320" t="s">
        <v>45</v>
      </c>
      <c r="D320">
        <v>3044</v>
      </c>
      <c r="E320" t="s">
        <v>48</v>
      </c>
      <c r="F320" t="s">
        <v>50</v>
      </c>
    </row>
    <row r="321" spans="1:6" x14ac:dyDescent="0.35">
      <c r="A321" s="2">
        <v>45495</v>
      </c>
      <c r="B321" t="s">
        <v>8</v>
      </c>
      <c r="C321" t="s">
        <v>34</v>
      </c>
      <c r="D321">
        <v>401</v>
      </c>
      <c r="E321" t="s">
        <v>47</v>
      </c>
      <c r="F321" t="s">
        <v>52</v>
      </c>
    </row>
    <row r="322" spans="1:6" x14ac:dyDescent="0.35">
      <c r="A322" s="2">
        <v>45496</v>
      </c>
      <c r="B322" t="s">
        <v>9</v>
      </c>
      <c r="C322" t="s">
        <v>22</v>
      </c>
      <c r="D322">
        <v>386</v>
      </c>
      <c r="E322" t="s">
        <v>47</v>
      </c>
      <c r="F322" t="s">
        <v>52</v>
      </c>
    </row>
    <row r="323" spans="1:6" x14ac:dyDescent="0.35">
      <c r="A323" s="2">
        <v>45497</v>
      </c>
      <c r="B323" t="s">
        <v>18</v>
      </c>
      <c r="C323" t="s">
        <v>44</v>
      </c>
      <c r="D323">
        <v>2961</v>
      </c>
      <c r="E323" t="s">
        <v>48</v>
      </c>
      <c r="F323" t="s">
        <v>49</v>
      </c>
    </row>
    <row r="324" spans="1:6" x14ac:dyDescent="0.35">
      <c r="A324" s="2">
        <v>45497</v>
      </c>
      <c r="B324" t="s">
        <v>13</v>
      </c>
      <c r="C324" t="s">
        <v>27</v>
      </c>
      <c r="D324">
        <v>420</v>
      </c>
      <c r="E324" t="s">
        <v>47</v>
      </c>
      <c r="F324" t="s">
        <v>50</v>
      </c>
    </row>
    <row r="325" spans="1:6" x14ac:dyDescent="0.35">
      <c r="A325" s="2">
        <v>45498</v>
      </c>
      <c r="B325" t="s">
        <v>14</v>
      </c>
      <c r="C325" t="s">
        <v>36</v>
      </c>
      <c r="D325">
        <v>450</v>
      </c>
      <c r="E325" t="s">
        <v>47</v>
      </c>
      <c r="F325" t="s">
        <v>51</v>
      </c>
    </row>
    <row r="326" spans="1:6" x14ac:dyDescent="0.35">
      <c r="A326" s="2">
        <v>45499</v>
      </c>
      <c r="B326" t="s">
        <v>10</v>
      </c>
      <c r="C326" t="s">
        <v>33</v>
      </c>
      <c r="D326">
        <v>444</v>
      </c>
      <c r="E326" t="s">
        <v>47</v>
      </c>
      <c r="F326" t="s">
        <v>50</v>
      </c>
    </row>
    <row r="327" spans="1:6" x14ac:dyDescent="0.35">
      <c r="A327" s="2">
        <v>45500</v>
      </c>
      <c r="B327" t="s">
        <v>10</v>
      </c>
      <c r="C327" t="s">
        <v>23</v>
      </c>
      <c r="D327">
        <v>363</v>
      </c>
      <c r="E327" t="s">
        <v>47</v>
      </c>
      <c r="F327" t="s">
        <v>50</v>
      </c>
    </row>
    <row r="328" spans="1:6" x14ac:dyDescent="0.35">
      <c r="A328" s="2">
        <v>45500</v>
      </c>
      <c r="B328" t="s">
        <v>7</v>
      </c>
      <c r="C328" t="s">
        <v>39</v>
      </c>
      <c r="D328">
        <v>482</v>
      </c>
      <c r="E328" t="s">
        <v>47</v>
      </c>
      <c r="F328" t="s">
        <v>51</v>
      </c>
    </row>
    <row r="329" spans="1:6" x14ac:dyDescent="0.35">
      <c r="A329" s="2">
        <v>45501</v>
      </c>
      <c r="B329" t="s">
        <v>6</v>
      </c>
      <c r="C329" t="s">
        <v>28</v>
      </c>
      <c r="D329">
        <v>328</v>
      </c>
      <c r="E329" t="s">
        <v>47</v>
      </c>
      <c r="F329" t="s">
        <v>52</v>
      </c>
    </row>
    <row r="330" spans="1:6" x14ac:dyDescent="0.35">
      <c r="A330" s="2">
        <v>45501</v>
      </c>
      <c r="B330" t="s">
        <v>7</v>
      </c>
      <c r="C330" t="s">
        <v>39</v>
      </c>
      <c r="D330">
        <v>436</v>
      </c>
      <c r="E330" t="s">
        <v>47</v>
      </c>
      <c r="F330" t="s">
        <v>51</v>
      </c>
    </row>
    <row r="331" spans="1:6" x14ac:dyDescent="0.35">
      <c r="A331" s="2">
        <v>45502</v>
      </c>
      <c r="B331" t="s">
        <v>10</v>
      </c>
      <c r="C331" t="s">
        <v>23</v>
      </c>
      <c r="D331">
        <v>309</v>
      </c>
      <c r="E331" t="s">
        <v>47</v>
      </c>
      <c r="F331" t="s">
        <v>51</v>
      </c>
    </row>
    <row r="332" spans="1:6" x14ac:dyDescent="0.35">
      <c r="A332" s="2">
        <v>45503</v>
      </c>
      <c r="B332" t="s">
        <v>9</v>
      </c>
      <c r="C332" t="s">
        <v>26</v>
      </c>
      <c r="D332">
        <v>65</v>
      </c>
      <c r="E332" t="s">
        <v>47</v>
      </c>
      <c r="F332" t="s">
        <v>51</v>
      </c>
    </row>
    <row r="333" spans="1:6" x14ac:dyDescent="0.35">
      <c r="A333" s="2">
        <v>45503</v>
      </c>
      <c r="B333" t="s">
        <v>8</v>
      </c>
      <c r="C333" t="s">
        <v>34</v>
      </c>
      <c r="D333">
        <v>444</v>
      </c>
      <c r="E333" t="s">
        <v>47</v>
      </c>
      <c r="F333" t="s">
        <v>49</v>
      </c>
    </row>
    <row r="334" spans="1:6" x14ac:dyDescent="0.35">
      <c r="A334" s="2">
        <v>45504</v>
      </c>
      <c r="B334" t="s">
        <v>13</v>
      </c>
      <c r="C334" t="s">
        <v>27</v>
      </c>
      <c r="D334">
        <v>157</v>
      </c>
      <c r="E334" t="s">
        <v>47</v>
      </c>
      <c r="F334" t="s">
        <v>49</v>
      </c>
    </row>
    <row r="335" spans="1:6" x14ac:dyDescent="0.35">
      <c r="A335" s="2">
        <v>45505</v>
      </c>
      <c r="B335" t="s">
        <v>6</v>
      </c>
      <c r="C335" t="s">
        <v>28</v>
      </c>
      <c r="D335">
        <v>353</v>
      </c>
      <c r="E335" t="s">
        <v>47</v>
      </c>
      <c r="F335" t="s">
        <v>49</v>
      </c>
    </row>
    <row r="336" spans="1:6" x14ac:dyDescent="0.35">
      <c r="A336" s="2">
        <v>45506</v>
      </c>
      <c r="B336" t="s">
        <v>9</v>
      </c>
      <c r="C336" t="s">
        <v>26</v>
      </c>
      <c r="D336">
        <v>230</v>
      </c>
      <c r="E336" t="s">
        <v>47</v>
      </c>
      <c r="F336" t="s">
        <v>51</v>
      </c>
    </row>
    <row r="337" spans="1:6" x14ac:dyDescent="0.35">
      <c r="A337" s="2">
        <v>45507</v>
      </c>
      <c r="B337" t="s">
        <v>9</v>
      </c>
      <c r="C337" t="s">
        <v>26</v>
      </c>
      <c r="D337">
        <v>380</v>
      </c>
      <c r="E337" t="s">
        <v>47</v>
      </c>
      <c r="F337" t="s">
        <v>52</v>
      </c>
    </row>
    <row r="338" spans="1:6" x14ac:dyDescent="0.35">
      <c r="A338" s="2">
        <v>45508</v>
      </c>
      <c r="B338" t="s">
        <v>12</v>
      </c>
      <c r="C338" t="s">
        <v>35</v>
      </c>
      <c r="D338">
        <v>13</v>
      </c>
      <c r="E338" t="s">
        <v>47</v>
      </c>
      <c r="F338" t="s">
        <v>49</v>
      </c>
    </row>
    <row r="339" spans="1:6" x14ac:dyDescent="0.35">
      <c r="A339" s="2">
        <v>45508</v>
      </c>
      <c r="B339" t="s">
        <v>14</v>
      </c>
      <c r="C339" t="s">
        <v>29</v>
      </c>
      <c r="D339">
        <v>245</v>
      </c>
      <c r="E339" t="s">
        <v>47</v>
      </c>
      <c r="F339" t="s">
        <v>51</v>
      </c>
    </row>
    <row r="340" spans="1:6" x14ac:dyDescent="0.35">
      <c r="A340" s="2">
        <v>45509</v>
      </c>
      <c r="B340" t="s">
        <v>13</v>
      </c>
      <c r="C340" t="s">
        <v>27</v>
      </c>
      <c r="D340">
        <v>342</v>
      </c>
      <c r="E340" t="s">
        <v>47</v>
      </c>
      <c r="F340" t="s">
        <v>52</v>
      </c>
    </row>
    <row r="341" spans="1:6" x14ac:dyDescent="0.35">
      <c r="A341" s="2">
        <v>45510</v>
      </c>
      <c r="B341" t="s">
        <v>11</v>
      </c>
      <c r="C341" t="s">
        <v>42</v>
      </c>
      <c r="D341">
        <v>273</v>
      </c>
      <c r="E341" t="s">
        <v>47</v>
      </c>
      <c r="F341" t="s">
        <v>50</v>
      </c>
    </row>
    <row r="342" spans="1:6" x14ac:dyDescent="0.35">
      <c r="A342" s="2">
        <v>45511</v>
      </c>
      <c r="B342" t="s">
        <v>10</v>
      </c>
      <c r="C342" t="s">
        <v>33</v>
      </c>
      <c r="D342">
        <v>402</v>
      </c>
      <c r="E342" t="s">
        <v>47</v>
      </c>
      <c r="F342" t="s">
        <v>51</v>
      </c>
    </row>
    <row r="343" spans="1:6" x14ac:dyDescent="0.35">
      <c r="A343" s="2">
        <v>45512</v>
      </c>
      <c r="B343" t="s">
        <v>6</v>
      </c>
      <c r="C343" t="s">
        <v>19</v>
      </c>
      <c r="D343">
        <v>127</v>
      </c>
      <c r="E343" t="s">
        <v>47</v>
      </c>
      <c r="F343" t="s">
        <v>50</v>
      </c>
    </row>
    <row r="344" spans="1:6" x14ac:dyDescent="0.35">
      <c r="A344" s="2">
        <v>45513</v>
      </c>
      <c r="B344" t="s">
        <v>10</v>
      </c>
      <c r="C344" t="s">
        <v>33</v>
      </c>
      <c r="D344">
        <v>336</v>
      </c>
      <c r="E344" t="s">
        <v>47</v>
      </c>
      <c r="F344" t="s">
        <v>52</v>
      </c>
    </row>
    <row r="345" spans="1:6" x14ac:dyDescent="0.35">
      <c r="A345" s="2">
        <v>45514</v>
      </c>
      <c r="B345" t="s">
        <v>10</v>
      </c>
      <c r="C345" t="s">
        <v>23</v>
      </c>
      <c r="D345">
        <v>399</v>
      </c>
      <c r="E345" t="s">
        <v>47</v>
      </c>
      <c r="F345" t="s">
        <v>49</v>
      </c>
    </row>
    <row r="346" spans="1:6" x14ac:dyDescent="0.35">
      <c r="A346" s="2">
        <v>45514</v>
      </c>
      <c r="B346" t="s">
        <v>13</v>
      </c>
      <c r="C346" t="s">
        <v>27</v>
      </c>
      <c r="D346">
        <v>476</v>
      </c>
      <c r="E346" t="s">
        <v>47</v>
      </c>
      <c r="F346" t="s">
        <v>50</v>
      </c>
    </row>
    <row r="347" spans="1:6" x14ac:dyDescent="0.35">
      <c r="A347" s="2">
        <v>45515</v>
      </c>
      <c r="B347" t="s">
        <v>7</v>
      </c>
      <c r="C347" t="s">
        <v>20</v>
      </c>
      <c r="D347">
        <v>406</v>
      </c>
      <c r="E347" t="s">
        <v>47</v>
      </c>
      <c r="F347" t="s">
        <v>52</v>
      </c>
    </row>
    <row r="348" spans="1:6" x14ac:dyDescent="0.35">
      <c r="A348" s="2">
        <v>45515</v>
      </c>
      <c r="B348" t="s">
        <v>7</v>
      </c>
      <c r="C348" t="s">
        <v>39</v>
      </c>
      <c r="D348">
        <v>288</v>
      </c>
      <c r="E348" t="s">
        <v>47</v>
      </c>
      <c r="F348" t="s">
        <v>51</v>
      </c>
    </row>
    <row r="349" spans="1:6" x14ac:dyDescent="0.35">
      <c r="A349" s="2">
        <v>45516</v>
      </c>
      <c r="B349" t="s">
        <v>6</v>
      </c>
      <c r="C349" t="s">
        <v>19</v>
      </c>
      <c r="D349">
        <v>228</v>
      </c>
      <c r="E349" t="s">
        <v>47</v>
      </c>
      <c r="F349" t="s">
        <v>52</v>
      </c>
    </row>
    <row r="350" spans="1:6" x14ac:dyDescent="0.35">
      <c r="A350" s="2">
        <v>45516</v>
      </c>
      <c r="B350" t="s">
        <v>11</v>
      </c>
      <c r="C350" t="s">
        <v>42</v>
      </c>
      <c r="D350">
        <v>327</v>
      </c>
      <c r="E350" t="s">
        <v>47</v>
      </c>
      <c r="F350" t="s">
        <v>50</v>
      </c>
    </row>
    <row r="351" spans="1:6" x14ac:dyDescent="0.35">
      <c r="A351" s="2">
        <v>45517</v>
      </c>
      <c r="B351" t="s">
        <v>17</v>
      </c>
      <c r="C351" t="s">
        <v>40</v>
      </c>
      <c r="D351">
        <v>220</v>
      </c>
      <c r="E351" t="s">
        <v>47</v>
      </c>
      <c r="F351" t="s">
        <v>49</v>
      </c>
    </row>
    <row r="352" spans="1:6" x14ac:dyDescent="0.35">
      <c r="A352" s="2">
        <v>45517</v>
      </c>
      <c r="B352" t="s">
        <v>6</v>
      </c>
      <c r="C352" t="s">
        <v>28</v>
      </c>
      <c r="D352">
        <v>357</v>
      </c>
      <c r="E352" t="s">
        <v>47</v>
      </c>
      <c r="F352" t="s">
        <v>49</v>
      </c>
    </row>
    <row r="353" spans="1:6" x14ac:dyDescent="0.35">
      <c r="A353" s="2">
        <v>45518</v>
      </c>
      <c r="B353" t="s">
        <v>10</v>
      </c>
      <c r="C353" t="s">
        <v>23</v>
      </c>
      <c r="D353">
        <v>174</v>
      </c>
      <c r="E353" t="s">
        <v>47</v>
      </c>
      <c r="F353" t="s">
        <v>50</v>
      </c>
    </row>
    <row r="354" spans="1:6" x14ac:dyDescent="0.35">
      <c r="A354" s="2">
        <v>45519</v>
      </c>
      <c r="B354" t="s">
        <v>12</v>
      </c>
      <c r="C354" t="s">
        <v>35</v>
      </c>
      <c r="D354">
        <v>239</v>
      </c>
      <c r="E354" t="s">
        <v>47</v>
      </c>
      <c r="F354" t="s">
        <v>51</v>
      </c>
    </row>
    <row r="355" spans="1:6" x14ac:dyDescent="0.35">
      <c r="A355" s="2">
        <v>45519</v>
      </c>
      <c r="B355" t="s">
        <v>9</v>
      </c>
      <c r="C355" t="s">
        <v>26</v>
      </c>
      <c r="D355">
        <v>35</v>
      </c>
      <c r="E355" t="s">
        <v>47</v>
      </c>
      <c r="F355" t="s">
        <v>49</v>
      </c>
    </row>
    <row r="356" spans="1:6" x14ac:dyDescent="0.35">
      <c r="A356" s="2">
        <v>45520</v>
      </c>
      <c r="B356" t="s">
        <v>16</v>
      </c>
      <c r="C356" t="s">
        <v>31</v>
      </c>
      <c r="D356">
        <v>2074</v>
      </c>
      <c r="E356" t="s">
        <v>48</v>
      </c>
      <c r="F356" t="s">
        <v>49</v>
      </c>
    </row>
    <row r="357" spans="1:6" x14ac:dyDescent="0.35">
      <c r="A357" s="2">
        <v>45520</v>
      </c>
      <c r="B357" t="s">
        <v>14</v>
      </c>
      <c r="C357" t="s">
        <v>29</v>
      </c>
      <c r="D357">
        <v>210</v>
      </c>
      <c r="E357" t="s">
        <v>47</v>
      </c>
      <c r="F357" t="s">
        <v>51</v>
      </c>
    </row>
    <row r="358" spans="1:6" x14ac:dyDescent="0.35">
      <c r="A358" s="2">
        <v>45520</v>
      </c>
      <c r="B358" t="s">
        <v>12</v>
      </c>
      <c r="C358" t="s">
        <v>25</v>
      </c>
      <c r="D358">
        <v>228</v>
      </c>
      <c r="E358" t="s">
        <v>47</v>
      </c>
      <c r="F358" t="s">
        <v>51</v>
      </c>
    </row>
    <row r="359" spans="1:6" x14ac:dyDescent="0.35">
      <c r="A359" s="2">
        <v>45521</v>
      </c>
      <c r="B359" t="s">
        <v>10</v>
      </c>
      <c r="C359" t="s">
        <v>23</v>
      </c>
      <c r="D359">
        <v>364</v>
      </c>
      <c r="E359" t="s">
        <v>47</v>
      </c>
      <c r="F359" t="s">
        <v>49</v>
      </c>
    </row>
    <row r="360" spans="1:6" x14ac:dyDescent="0.35">
      <c r="A360" s="2">
        <v>45522</v>
      </c>
      <c r="B360" t="s">
        <v>6</v>
      </c>
      <c r="C360" t="s">
        <v>19</v>
      </c>
      <c r="D360">
        <v>167</v>
      </c>
      <c r="E360" t="s">
        <v>47</v>
      </c>
      <c r="F360" t="s">
        <v>50</v>
      </c>
    </row>
    <row r="361" spans="1:6" x14ac:dyDescent="0.35">
      <c r="A361" s="2">
        <v>45522</v>
      </c>
      <c r="B361" t="s">
        <v>8</v>
      </c>
      <c r="C361" t="s">
        <v>34</v>
      </c>
      <c r="D361">
        <v>418</v>
      </c>
      <c r="E361" t="s">
        <v>47</v>
      </c>
      <c r="F361" t="s">
        <v>49</v>
      </c>
    </row>
    <row r="362" spans="1:6" x14ac:dyDescent="0.35">
      <c r="A362" s="2">
        <v>45523</v>
      </c>
      <c r="B362" t="s">
        <v>13</v>
      </c>
      <c r="C362" t="s">
        <v>27</v>
      </c>
      <c r="D362">
        <v>323</v>
      </c>
      <c r="E362" t="s">
        <v>47</v>
      </c>
      <c r="F362" t="s">
        <v>50</v>
      </c>
    </row>
    <row r="363" spans="1:6" x14ac:dyDescent="0.35">
      <c r="A363" s="2">
        <v>45523</v>
      </c>
      <c r="B363" t="s">
        <v>7</v>
      </c>
      <c r="C363" t="s">
        <v>39</v>
      </c>
      <c r="D363">
        <v>282</v>
      </c>
      <c r="E363" t="s">
        <v>47</v>
      </c>
      <c r="F363" t="s">
        <v>50</v>
      </c>
    </row>
    <row r="364" spans="1:6" x14ac:dyDescent="0.35">
      <c r="A364" s="2">
        <v>45524</v>
      </c>
      <c r="B364" t="s">
        <v>13</v>
      </c>
      <c r="C364" t="s">
        <v>27</v>
      </c>
      <c r="D364">
        <v>328</v>
      </c>
      <c r="E364" t="s">
        <v>47</v>
      </c>
      <c r="F364" t="s">
        <v>49</v>
      </c>
    </row>
    <row r="365" spans="1:6" x14ac:dyDescent="0.35">
      <c r="A365" s="2">
        <v>45524</v>
      </c>
      <c r="B365" t="s">
        <v>17</v>
      </c>
      <c r="C365" t="s">
        <v>40</v>
      </c>
      <c r="D365">
        <v>410</v>
      </c>
      <c r="E365" t="s">
        <v>47</v>
      </c>
      <c r="F365" t="s">
        <v>51</v>
      </c>
    </row>
    <row r="366" spans="1:6" x14ac:dyDescent="0.35">
      <c r="A366" s="2">
        <v>45525</v>
      </c>
      <c r="B366" t="s">
        <v>8</v>
      </c>
      <c r="C366" t="s">
        <v>21</v>
      </c>
      <c r="D366">
        <v>124</v>
      </c>
      <c r="E366" t="s">
        <v>47</v>
      </c>
      <c r="F366" t="s">
        <v>49</v>
      </c>
    </row>
    <row r="367" spans="1:6" x14ac:dyDescent="0.35">
      <c r="A367" s="2">
        <v>45526</v>
      </c>
      <c r="B367" t="s">
        <v>14</v>
      </c>
      <c r="C367" t="s">
        <v>41</v>
      </c>
      <c r="D367">
        <v>231</v>
      </c>
      <c r="E367" t="s">
        <v>47</v>
      </c>
      <c r="F367" t="s">
        <v>50</v>
      </c>
    </row>
    <row r="368" spans="1:6" x14ac:dyDescent="0.35">
      <c r="A368" s="2">
        <v>45526</v>
      </c>
      <c r="B368" t="s">
        <v>12</v>
      </c>
      <c r="C368" t="s">
        <v>35</v>
      </c>
      <c r="D368">
        <v>399</v>
      </c>
      <c r="E368" t="s">
        <v>47</v>
      </c>
      <c r="F368" t="s">
        <v>51</v>
      </c>
    </row>
    <row r="369" spans="1:6" x14ac:dyDescent="0.35">
      <c r="A369" s="2">
        <v>45527</v>
      </c>
      <c r="B369" t="s">
        <v>11</v>
      </c>
      <c r="C369" t="s">
        <v>24</v>
      </c>
      <c r="D369">
        <v>62</v>
      </c>
      <c r="E369" t="s">
        <v>47</v>
      </c>
      <c r="F369" t="s">
        <v>49</v>
      </c>
    </row>
    <row r="370" spans="1:6" x14ac:dyDescent="0.35">
      <c r="A370" s="2">
        <v>45528</v>
      </c>
      <c r="B370" t="s">
        <v>13</v>
      </c>
      <c r="C370" t="s">
        <v>27</v>
      </c>
      <c r="D370">
        <v>289</v>
      </c>
      <c r="E370" t="s">
        <v>47</v>
      </c>
      <c r="F370" t="s">
        <v>50</v>
      </c>
    </row>
    <row r="371" spans="1:6" x14ac:dyDescent="0.35">
      <c r="A371" s="2">
        <v>45528</v>
      </c>
      <c r="B371" t="s">
        <v>17</v>
      </c>
      <c r="C371" t="s">
        <v>37</v>
      </c>
      <c r="D371">
        <v>401</v>
      </c>
      <c r="E371" t="s">
        <v>47</v>
      </c>
      <c r="F371" t="s">
        <v>51</v>
      </c>
    </row>
    <row r="372" spans="1:6" x14ac:dyDescent="0.35">
      <c r="A372" s="2">
        <v>45529</v>
      </c>
      <c r="B372" t="s">
        <v>14</v>
      </c>
      <c r="C372" t="s">
        <v>29</v>
      </c>
      <c r="D372">
        <v>179</v>
      </c>
      <c r="E372" t="s">
        <v>47</v>
      </c>
      <c r="F372" t="s">
        <v>52</v>
      </c>
    </row>
    <row r="373" spans="1:6" x14ac:dyDescent="0.35">
      <c r="A373" s="2">
        <v>45530</v>
      </c>
      <c r="B373" t="s">
        <v>11</v>
      </c>
      <c r="C373" t="s">
        <v>32</v>
      </c>
      <c r="D373">
        <v>386</v>
      </c>
      <c r="E373" t="s">
        <v>47</v>
      </c>
      <c r="F373" t="s">
        <v>50</v>
      </c>
    </row>
    <row r="374" spans="1:6" x14ac:dyDescent="0.35">
      <c r="A374" s="2">
        <v>45531</v>
      </c>
      <c r="B374" t="s">
        <v>15</v>
      </c>
      <c r="C374" t="s">
        <v>38</v>
      </c>
      <c r="D374">
        <v>2850</v>
      </c>
      <c r="E374" t="s">
        <v>48</v>
      </c>
      <c r="F374" t="s">
        <v>50</v>
      </c>
    </row>
    <row r="375" spans="1:6" x14ac:dyDescent="0.35">
      <c r="A375" s="2">
        <v>45531</v>
      </c>
      <c r="B375" t="s">
        <v>14</v>
      </c>
      <c r="C375" t="s">
        <v>29</v>
      </c>
      <c r="D375">
        <v>151</v>
      </c>
      <c r="E375" t="s">
        <v>47</v>
      </c>
      <c r="F375" t="s">
        <v>51</v>
      </c>
    </row>
    <row r="376" spans="1:6" x14ac:dyDescent="0.35">
      <c r="A376" s="2">
        <v>45532</v>
      </c>
      <c r="B376" t="s">
        <v>17</v>
      </c>
      <c r="C376" t="s">
        <v>40</v>
      </c>
      <c r="D376">
        <v>384</v>
      </c>
      <c r="E376" t="s">
        <v>47</v>
      </c>
      <c r="F376" t="s">
        <v>52</v>
      </c>
    </row>
    <row r="377" spans="1:6" x14ac:dyDescent="0.35">
      <c r="A377" s="2">
        <v>45533</v>
      </c>
      <c r="B377" t="s">
        <v>11</v>
      </c>
      <c r="C377" t="s">
        <v>32</v>
      </c>
      <c r="D377">
        <v>285</v>
      </c>
      <c r="E377" t="s">
        <v>47</v>
      </c>
      <c r="F377" t="s">
        <v>50</v>
      </c>
    </row>
    <row r="378" spans="1:6" x14ac:dyDescent="0.35">
      <c r="A378" s="2">
        <v>45534</v>
      </c>
      <c r="B378" t="s">
        <v>6</v>
      </c>
      <c r="C378" t="s">
        <v>28</v>
      </c>
      <c r="D378">
        <v>434</v>
      </c>
      <c r="E378" t="s">
        <v>47</v>
      </c>
      <c r="F378" t="s">
        <v>51</v>
      </c>
    </row>
    <row r="379" spans="1:6" x14ac:dyDescent="0.35">
      <c r="A379" s="2">
        <v>45535</v>
      </c>
      <c r="B379" t="s">
        <v>6</v>
      </c>
      <c r="C379" t="s">
        <v>19</v>
      </c>
      <c r="D379">
        <v>31</v>
      </c>
      <c r="E379" t="s">
        <v>47</v>
      </c>
      <c r="F379" t="s">
        <v>52</v>
      </c>
    </row>
    <row r="380" spans="1:6" x14ac:dyDescent="0.35">
      <c r="A380" s="2">
        <v>45536</v>
      </c>
      <c r="B380" t="s">
        <v>11</v>
      </c>
      <c r="C380" t="s">
        <v>32</v>
      </c>
      <c r="D380">
        <v>452</v>
      </c>
      <c r="E380" t="s">
        <v>47</v>
      </c>
      <c r="F380" t="s">
        <v>50</v>
      </c>
    </row>
    <row r="381" spans="1:6" x14ac:dyDescent="0.35">
      <c r="A381" s="2">
        <v>45537</v>
      </c>
      <c r="B381" t="s">
        <v>18</v>
      </c>
      <c r="C381" t="s">
        <v>46</v>
      </c>
      <c r="D381">
        <v>3463</v>
      </c>
      <c r="E381" t="s">
        <v>48</v>
      </c>
      <c r="F381" t="s">
        <v>52</v>
      </c>
    </row>
    <row r="382" spans="1:6" x14ac:dyDescent="0.35">
      <c r="A382" s="2">
        <v>45537</v>
      </c>
      <c r="B382" t="s">
        <v>10</v>
      </c>
      <c r="C382" t="s">
        <v>33</v>
      </c>
      <c r="D382">
        <v>210</v>
      </c>
      <c r="E382" t="s">
        <v>47</v>
      </c>
      <c r="F382" t="s">
        <v>49</v>
      </c>
    </row>
    <row r="383" spans="1:6" x14ac:dyDescent="0.35">
      <c r="A383" s="2">
        <v>45538</v>
      </c>
      <c r="B383" t="s">
        <v>14</v>
      </c>
      <c r="C383" t="s">
        <v>36</v>
      </c>
      <c r="D383">
        <v>170</v>
      </c>
      <c r="E383" t="s">
        <v>47</v>
      </c>
      <c r="F383" t="s">
        <v>50</v>
      </c>
    </row>
    <row r="384" spans="1:6" x14ac:dyDescent="0.35">
      <c r="A384" s="2">
        <v>45538</v>
      </c>
      <c r="B384" t="s">
        <v>10</v>
      </c>
      <c r="C384" t="s">
        <v>33</v>
      </c>
      <c r="D384">
        <v>323</v>
      </c>
      <c r="E384" t="s">
        <v>47</v>
      </c>
      <c r="F384" t="s">
        <v>52</v>
      </c>
    </row>
    <row r="385" spans="1:6" x14ac:dyDescent="0.35">
      <c r="A385" s="2">
        <v>45539</v>
      </c>
      <c r="B385" t="s">
        <v>13</v>
      </c>
      <c r="C385" t="s">
        <v>27</v>
      </c>
      <c r="D385">
        <v>348</v>
      </c>
      <c r="E385" t="s">
        <v>47</v>
      </c>
      <c r="F385" t="s">
        <v>50</v>
      </c>
    </row>
    <row r="386" spans="1:6" x14ac:dyDescent="0.35">
      <c r="A386" s="2">
        <v>45540</v>
      </c>
      <c r="B386" t="s">
        <v>17</v>
      </c>
      <c r="C386" t="s">
        <v>40</v>
      </c>
      <c r="D386">
        <v>281</v>
      </c>
      <c r="E386" t="s">
        <v>47</v>
      </c>
      <c r="F386" t="s">
        <v>52</v>
      </c>
    </row>
    <row r="387" spans="1:6" x14ac:dyDescent="0.35">
      <c r="A387" s="2">
        <v>45541</v>
      </c>
      <c r="B387" t="s">
        <v>8</v>
      </c>
      <c r="C387" t="s">
        <v>21</v>
      </c>
      <c r="D387">
        <v>15</v>
      </c>
      <c r="E387" t="s">
        <v>47</v>
      </c>
      <c r="F387" t="s">
        <v>51</v>
      </c>
    </row>
    <row r="388" spans="1:6" x14ac:dyDescent="0.35">
      <c r="A388" s="2">
        <v>45541</v>
      </c>
      <c r="B388" t="s">
        <v>10</v>
      </c>
      <c r="C388" t="s">
        <v>23</v>
      </c>
      <c r="D388">
        <v>106</v>
      </c>
      <c r="E388" t="s">
        <v>47</v>
      </c>
      <c r="F388" t="s">
        <v>51</v>
      </c>
    </row>
    <row r="389" spans="1:6" x14ac:dyDescent="0.35">
      <c r="A389" s="2">
        <v>45542</v>
      </c>
      <c r="B389" t="s">
        <v>18</v>
      </c>
      <c r="C389" t="s">
        <v>46</v>
      </c>
      <c r="D389">
        <v>1611</v>
      </c>
      <c r="E389" t="s">
        <v>48</v>
      </c>
      <c r="F389" t="s">
        <v>51</v>
      </c>
    </row>
    <row r="390" spans="1:6" x14ac:dyDescent="0.35">
      <c r="A390" s="2">
        <v>45542</v>
      </c>
      <c r="B390" t="s">
        <v>10</v>
      </c>
      <c r="C390" t="s">
        <v>33</v>
      </c>
      <c r="D390">
        <v>164</v>
      </c>
      <c r="E390" t="s">
        <v>47</v>
      </c>
      <c r="F390" t="s">
        <v>49</v>
      </c>
    </row>
    <row r="391" spans="1:6" x14ac:dyDescent="0.35">
      <c r="A391" s="2">
        <v>45543</v>
      </c>
      <c r="B391" t="s">
        <v>14</v>
      </c>
      <c r="C391" t="s">
        <v>36</v>
      </c>
      <c r="D391">
        <v>206</v>
      </c>
      <c r="E391" t="s">
        <v>47</v>
      </c>
      <c r="F391" t="s">
        <v>50</v>
      </c>
    </row>
    <row r="392" spans="1:6" x14ac:dyDescent="0.35">
      <c r="A392" s="2">
        <v>45543</v>
      </c>
      <c r="B392" t="s">
        <v>13</v>
      </c>
      <c r="C392" t="s">
        <v>27</v>
      </c>
      <c r="D392">
        <v>357</v>
      </c>
      <c r="E392" t="s">
        <v>47</v>
      </c>
      <c r="F392" t="s">
        <v>52</v>
      </c>
    </row>
    <row r="393" spans="1:6" x14ac:dyDescent="0.35">
      <c r="A393" s="2">
        <v>45544</v>
      </c>
      <c r="B393" t="s">
        <v>17</v>
      </c>
      <c r="C393" t="s">
        <v>37</v>
      </c>
      <c r="D393">
        <v>120</v>
      </c>
      <c r="E393" t="s">
        <v>47</v>
      </c>
      <c r="F393" t="s">
        <v>52</v>
      </c>
    </row>
    <row r="394" spans="1:6" x14ac:dyDescent="0.35">
      <c r="A394" s="2">
        <v>45545</v>
      </c>
      <c r="B394" t="s">
        <v>8</v>
      </c>
      <c r="C394" t="s">
        <v>34</v>
      </c>
      <c r="D394">
        <v>94</v>
      </c>
      <c r="E394" t="s">
        <v>47</v>
      </c>
      <c r="F394" t="s">
        <v>52</v>
      </c>
    </row>
    <row r="395" spans="1:6" x14ac:dyDescent="0.35">
      <c r="A395" s="2">
        <v>45545</v>
      </c>
      <c r="B395" t="s">
        <v>9</v>
      </c>
      <c r="C395" t="s">
        <v>22</v>
      </c>
      <c r="D395">
        <v>147</v>
      </c>
      <c r="E395" t="s">
        <v>47</v>
      </c>
      <c r="F395" t="s">
        <v>52</v>
      </c>
    </row>
    <row r="396" spans="1:6" x14ac:dyDescent="0.35">
      <c r="A396" s="2">
        <v>45546</v>
      </c>
      <c r="B396" t="s">
        <v>15</v>
      </c>
      <c r="C396" t="s">
        <v>30</v>
      </c>
      <c r="D396">
        <v>2494</v>
      </c>
      <c r="E396" t="s">
        <v>48</v>
      </c>
      <c r="F396" t="s">
        <v>51</v>
      </c>
    </row>
    <row r="397" spans="1:6" x14ac:dyDescent="0.35">
      <c r="A397" s="2">
        <v>45546</v>
      </c>
      <c r="B397" t="s">
        <v>8</v>
      </c>
      <c r="C397" t="s">
        <v>34</v>
      </c>
      <c r="D397">
        <v>266</v>
      </c>
      <c r="E397" t="s">
        <v>47</v>
      </c>
      <c r="F397" t="s">
        <v>51</v>
      </c>
    </row>
    <row r="398" spans="1:6" x14ac:dyDescent="0.35">
      <c r="A398" s="2">
        <v>45547</v>
      </c>
      <c r="B398" t="s">
        <v>15</v>
      </c>
      <c r="C398" t="s">
        <v>30</v>
      </c>
      <c r="D398">
        <v>1215</v>
      </c>
      <c r="E398" t="s">
        <v>48</v>
      </c>
      <c r="F398" t="s">
        <v>50</v>
      </c>
    </row>
    <row r="399" spans="1:6" x14ac:dyDescent="0.35">
      <c r="A399" s="2">
        <v>45547</v>
      </c>
      <c r="B399" t="s">
        <v>13</v>
      </c>
      <c r="C399" t="s">
        <v>27</v>
      </c>
      <c r="D399">
        <v>352</v>
      </c>
      <c r="E399" t="s">
        <v>47</v>
      </c>
      <c r="F399" t="s">
        <v>52</v>
      </c>
    </row>
    <row r="400" spans="1:6" x14ac:dyDescent="0.35">
      <c r="A400" s="2">
        <v>45547</v>
      </c>
      <c r="B400" t="s">
        <v>14</v>
      </c>
      <c r="C400" t="s">
        <v>29</v>
      </c>
      <c r="D400">
        <v>115</v>
      </c>
      <c r="E400" t="s">
        <v>47</v>
      </c>
      <c r="F400" t="s">
        <v>49</v>
      </c>
    </row>
    <row r="401" spans="1:6" x14ac:dyDescent="0.35">
      <c r="A401" s="2">
        <v>45548</v>
      </c>
      <c r="B401" t="s">
        <v>14</v>
      </c>
      <c r="C401" t="s">
        <v>29</v>
      </c>
      <c r="D401">
        <v>318</v>
      </c>
      <c r="E401" t="s">
        <v>47</v>
      </c>
      <c r="F401" t="s">
        <v>52</v>
      </c>
    </row>
    <row r="402" spans="1:6" x14ac:dyDescent="0.35">
      <c r="A402" s="2">
        <v>45549</v>
      </c>
      <c r="B402" t="s">
        <v>10</v>
      </c>
      <c r="C402" t="s">
        <v>33</v>
      </c>
      <c r="D402">
        <v>366</v>
      </c>
      <c r="E402" t="s">
        <v>47</v>
      </c>
      <c r="F402" t="s">
        <v>52</v>
      </c>
    </row>
    <row r="403" spans="1:6" x14ac:dyDescent="0.35">
      <c r="A403" s="2">
        <v>45550</v>
      </c>
      <c r="B403" t="s">
        <v>12</v>
      </c>
      <c r="C403" t="s">
        <v>25</v>
      </c>
      <c r="D403">
        <v>401</v>
      </c>
      <c r="E403" t="s">
        <v>47</v>
      </c>
      <c r="F403" t="s">
        <v>51</v>
      </c>
    </row>
    <row r="404" spans="1:6" x14ac:dyDescent="0.35">
      <c r="A404" s="2">
        <v>45550</v>
      </c>
      <c r="B404" t="s">
        <v>11</v>
      </c>
      <c r="C404" t="s">
        <v>42</v>
      </c>
      <c r="D404">
        <v>151</v>
      </c>
      <c r="E404" t="s">
        <v>47</v>
      </c>
      <c r="F404" t="s">
        <v>49</v>
      </c>
    </row>
    <row r="405" spans="1:6" x14ac:dyDescent="0.35">
      <c r="A405" s="2">
        <v>45551</v>
      </c>
      <c r="B405" t="s">
        <v>6</v>
      </c>
      <c r="C405" t="s">
        <v>19</v>
      </c>
      <c r="D405">
        <v>123</v>
      </c>
      <c r="E405" t="s">
        <v>47</v>
      </c>
      <c r="F405" t="s">
        <v>51</v>
      </c>
    </row>
    <row r="406" spans="1:6" x14ac:dyDescent="0.35">
      <c r="A406" s="2">
        <v>45552</v>
      </c>
      <c r="B406" t="s">
        <v>13</v>
      </c>
      <c r="C406" t="s">
        <v>27</v>
      </c>
      <c r="D406">
        <v>458</v>
      </c>
      <c r="E406" t="s">
        <v>47</v>
      </c>
      <c r="F406" t="s">
        <v>52</v>
      </c>
    </row>
    <row r="407" spans="1:6" x14ac:dyDescent="0.35">
      <c r="A407" s="2">
        <v>45553</v>
      </c>
      <c r="B407" t="s">
        <v>6</v>
      </c>
      <c r="C407" t="s">
        <v>19</v>
      </c>
      <c r="D407">
        <v>63</v>
      </c>
      <c r="E407" t="s">
        <v>47</v>
      </c>
      <c r="F407" t="s">
        <v>49</v>
      </c>
    </row>
    <row r="408" spans="1:6" x14ac:dyDescent="0.35">
      <c r="A408" s="2">
        <v>45554</v>
      </c>
      <c r="B408" t="s">
        <v>11</v>
      </c>
      <c r="C408" t="s">
        <v>32</v>
      </c>
      <c r="D408">
        <v>97</v>
      </c>
      <c r="E408" t="s">
        <v>47</v>
      </c>
      <c r="F408" t="s">
        <v>52</v>
      </c>
    </row>
    <row r="409" spans="1:6" x14ac:dyDescent="0.35">
      <c r="A409" s="2">
        <v>45555</v>
      </c>
      <c r="B409" t="s">
        <v>15</v>
      </c>
      <c r="C409" t="s">
        <v>38</v>
      </c>
      <c r="D409">
        <v>1855</v>
      </c>
      <c r="E409" t="s">
        <v>48</v>
      </c>
      <c r="F409" t="s">
        <v>51</v>
      </c>
    </row>
    <row r="410" spans="1:6" x14ac:dyDescent="0.35">
      <c r="A410" s="2">
        <v>45555</v>
      </c>
      <c r="B410" t="s">
        <v>7</v>
      </c>
      <c r="C410" t="s">
        <v>43</v>
      </c>
      <c r="D410">
        <v>446</v>
      </c>
      <c r="E410" t="s">
        <v>47</v>
      </c>
      <c r="F410" t="s">
        <v>51</v>
      </c>
    </row>
    <row r="411" spans="1:6" x14ac:dyDescent="0.35">
      <c r="A411" s="2">
        <v>45555</v>
      </c>
      <c r="B411" t="s">
        <v>6</v>
      </c>
      <c r="C411" t="s">
        <v>28</v>
      </c>
      <c r="D411">
        <v>297</v>
      </c>
      <c r="E411" t="s">
        <v>47</v>
      </c>
      <c r="F411" t="s">
        <v>50</v>
      </c>
    </row>
    <row r="412" spans="1:6" x14ac:dyDescent="0.35">
      <c r="A412" s="2">
        <v>45556</v>
      </c>
      <c r="B412" t="s">
        <v>14</v>
      </c>
      <c r="C412" t="s">
        <v>29</v>
      </c>
      <c r="D412">
        <v>181</v>
      </c>
      <c r="E412" t="s">
        <v>47</v>
      </c>
      <c r="F412" t="s">
        <v>49</v>
      </c>
    </row>
    <row r="413" spans="1:6" x14ac:dyDescent="0.35">
      <c r="A413" s="2">
        <v>45556</v>
      </c>
      <c r="B413" t="s">
        <v>10</v>
      </c>
      <c r="C413" t="s">
        <v>33</v>
      </c>
      <c r="D413">
        <v>254</v>
      </c>
      <c r="E413" t="s">
        <v>47</v>
      </c>
      <c r="F413" t="s">
        <v>51</v>
      </c>
    </row>
    <row r="414" spans="1:6" x14ac:dyDescent="0.35">
      <c r="A414" s="2">
        <v>45557</v>
      </c>
      <c r="B414" t="s">
        <v>13</v>
      </c>
      <c r="C414" t="s">
        <v>27</v>
      </c>
      <c r="D414">
        <v>339</v>
      </c>
      <c r="E414" t="s">
        <v>47</v>
      </c>
      <c r="F414" t="s">
        <v>52</v>
      </c>
    </row>
    <row r="415" spans="1:6" x14ac:dyDescent="0.35">
      <c r="A415" s="2">
        <v>45557</v>
      </c>
      <c r="B415" t="s">
        <v>14</v>
      </c>
      <c r="C415" t="s">
        <v>29</v>
      </c>
      <c r="D415">
        <v>299</v>
      </c>
      <c r="E415" t="s">
        <v>47</v>
      </c>
      <c r="F415" t="s">
        <v>52</v>
      </c>
    </row>
    <row r="416" spans="1:6" x14ac:dyDescent="0.35">
      <c r="A416" s="2">
        <v>45558</v>
      </c>
      <c r="B416" t="s">
        <v>8</v>
      </c>
      <c r="C416" t="s">
        <v>34</v>
      </c>
      <c r="D416">
        <v>272</v>
      </c>
      <c r="E416" t="s">
        <v>47</v>
      </c>
      <c r="F416" t="s">
        <v>49</v>
      </c>
    </row>
    <row r="417" spans="1:6" x14ac:dyDescent="0.35">
      <c r="A417" s="2">
        <v>45558</v>
      </c>
      <c r="B417" t="s">
        <v>13</v>
      </c>
      <c r="C417" t="s">
        <v>27</v>
      </c>
      <c r="D417">
        <v>44</v>
      </c>
      <c r="E417" t="s">
        <v>47</v>
      </c>
      <c r="F417" t="s">
        <v>51</v>
      </c>
    </row>
    <row r="418" spans="1:6" x14ac:dyDescent="0.35">
      <c r="A418" s="2">
        <v>45559</v>
      </c>
      <c r="B418" t="s">
        <v>9</v>
      </c>
      <c r="C418" t="s">
        <v>22</v>
      </c>
      <c r="D418">
        <v>104</v>
      </c>
      <c r="E418" t="s">
        <v>47</v>
      </c>
      <c r="F418" t="s">
        <v>50</v>
      </c>
    </row>
    <row r="419" spans="1:6" x14ac:dyDescent="0.35">
      <c r="A419" s="2">
        <v>45560</v>
      </c>
      <c r="B419" t="s">
        <v>13</v>
      </c>
      <c r="C419" t="s">
        <v>27</v>
      </c>
      <c r="D419">
        <v>379</v>
      </c>
      <c r="E419" t="s">
        <v>47</v>
      </c>
      <c r="F419" t="s">
        <v>51</v>
      </c>
    </row>
    <row r="420" spans="1:6" x14ac:dyDescent="0.35">
      <c r="A420" s="2">
        <v>45560</v>
      </c>
      <c r="B420" t="s">
        <v>7</v>
      </c>
      <c r="C420" t="s">
        <v>20</v>
      </c>
      <c r="D420">
        <v>497</v>
      </c>
      <c r="E420" t="s">
        <v>47</v>
      </c>
      <c r="F420" t="s">
        <v>51</v>
      </c>
    </row>
    <row r="421" spans="1:6" x14ac:dyDescent="0.35">
      <c r="A421" s="2">
        <v>45561</v>
      </c>
      <c r="B421" t="s">
        <v>6</v>
      </c>
      <c r="C421" t="s">
        <v>19</v>
      </c>
      <c r="D421">
        <v>477</v>
      </c>
      <c r="E421" t="s">
        <v>47</v>
      </c>
      <c r="F421" t="s">
        <v>50</v>
      </c>
    </row>
    <row r="422" spans="1:6" x14ac:dyDescent="0.35">
      <c r="A422" s="2">
        <v>45561</v>
      </c>
      <c r="B422" t="s">
        <v>13</v>
      </c>
      <c r="C422" t="s">
        <v>27</v>
      </c>
      <c r="D422">
        <v>235</v>
      </c>
      <c r="E422" t="s">
        <v>47</v>
      </c>
      <c r="F422" t="s">
        <v>52</v>
      </c>
    </row>
    <row r="423" spans="1:6" x14ac:dyDescent="0.35">
      <c r="A423" s="2">
        <v>45562</v>
      </c>
      <c r="B423" t="s">
        <v>10</v>
      </c>
      <c r="C423" t="s">
        <v>33</v>
      </c>
      <c r="D423">
        <v>70</v>
      </c>
      <c r="E423" t="s">
        <v>47</v>
      </c>
      <c r="F423" t="s">
        <v>49</v>
      </c>
    </row>
    <row r="424" spans="1:6" x14ac:dyDescent="0.35">
      <c r="A424" s="2">
        <v>45563</v>
      </c>
      <c r="B424" t="s">
        <v>17</v>
      </c>
      <c r="C424" t="s">
        <v>40</v>
      </c>
      <c r="D424">
        <v>464</v>
      </c>
      <c r="E424" t="s">
        <v>47</v>
      </c>
      <c r="F424" t="s">
        <v>50</v>
      </c>
    </row>
    <row r="425" spans="1:6" x14ac:dyDescent="0.35">
      <c r="A425" s="2">
        <v>45564</v>
      </c>
      <c r="B425" t="s">
        <v>9</v>
      </c>
      <c r="C425" t="s">
        <v>26</v>
      </c>
      <c r="D425">
        <v>122</v>
      </c>
      <c r="E425" t="s">
        <v>47</v>
      </c>
      <c r="F425" t="s">
        <v>52</v>
      </c>
    </row>
    <row r="426" spans="1:6" x14ac:dyDescent="0.35">
      <c r="A426" s="2">
        <v>45565</v>
      </c>
      <c r="B426" t="s">
        <v>9</v>
      </c>
      <c r="C426" t="s">
        <v>22</v>
      </c>
      <c r="D426">
        <v>354</v>
      </c>
      <c r="E426" t="s">
        <v>47</v>
      </c>
      <c r="F426" t="s">
        <v>51</v>
      </c>
    </row>
    <row r="427" spans="1:6" x14ac:dyDescent="0.35">
      <c r="A427" s="2">
        <v>45566</v>
      </c>
      <c r="B427" t="s">
        <v>6</v>
      </c>
      <c r="C427" t="s">
        <v>19</v>
      </c>
      <c r="D427">
        <v>464</v>
      </c>
      <c r="E427" t="s">
        <v>47</v>
      </c>
      <c r="F427" t="s">
        <v>51</v>
      </c>
    </row>
    <row r="428" spans="1:6" x14ac:dyDescent="0.35">
      <c r="A428" s="2">
        <v>45566</v>
      </c>
      <c r="B428" t="s">
        <v>10</v>
      </c>
      <c r="C428" t="s">
        <v>33</v>
      </c>
      <c r="D428">
        <v>378</v>
      </c>
      <c r="E428" t="s">
        <v>47</v>
      </c>
      <c r="F428" t="s">
        <v>50</v>
      </c>
    </row>
    <row r="429" spans="1:6" x14ac:dyDescent="0.35">
      <c r="A429" s="2">
        <v>45567</v>
      </c>
      <c r="B429" t="s">
        <v>7</v>
      </c>
      <c r="C429" t="s">
        <v>43</v>
      </c>
      <c r="D429">
        <v>489</v>
      </c>
      <c r="E429" t="s">
        <v>47</v>
      </c>
      <c r="F429" t="s">
        <v>50</v>
      </c>
    </row>
    <row r="430" spans="1:6" x14ac:dyDescent="0.35">
      <c r="A430" s="2">
        <v>45568</v>
      </c>
      <c r="B430" t="s">
        <v>6</v>
      </c>
      <c r="C430" t="s">
        <v>28</v>
      </c>
      <c r="D430">
        <v>316</v>
      </c>
      <c r="E430" t="s">
        <v>47</v>
      </c>
      <c r="F430" t="s">
        <v>50</v>
      </c>
    </row>
    <row r="431" spans="1:6" x14ac:dyDescent="0.35">
      <c r="A431" s="2">
        <v>45569</v>
      </c>
      <c r="B431" t="s">
        <v>14</v>
      </c>
      <c r="C431" t="s">
        <v>29</v>
      </c>
      <c r="D431">
        <v>338</v>
      </c>
      <c r="E431" t="s">
        <v>47</v>
      </c>
      <c r="F431" t="s">
        <v>52</v>
      </c>
    </row>
    <row r="432" spans="1:6" x14ac:dyDescent="0.35">
      <c r="A432" s="2">
        <v>45569</v>
      </c>
      <c r="B432" t="s">
        <v>10</v>
      </c>
      <c r="C432" t="s">
        <v>23</v>
      </c>
      <c r="D432">
        <v>297</v>
      </c>
      <c r="E432" t="s">
        <v>47</v>
      </c>
      <c r="F432" t="s">
        <v>50</v>
      </c>
    </row>
    <row r="433" spans="1:6" x14ac:dyDescent="0.35">
      <c r="A433" s="2">
        <v>45570</v>
      </c>
      <c r="B433" t="s">
        <v>15</v>
      </c>
      <c r="C433" t="s">
        <v>38</v>
      </c>
      <c r="D433">
        <v>1558</v>
      </c>
      <c r="E433" t="s">
        <v>48</v>
      </c>
      <c r="F433" t="s">
        <v>52</v>
      </c>
    </row>
    <row r="434" spans="1:6" x14ac:dyDescent="0.35">
      <c r="A434" s="2">
        <v>45570</v>
      </c>
      <c r="B434" t="s">
        <v>7</v>
      </c>
      <c r="C434" t="s">
        <v>43</v>
      </c>
      <c r="D434">
        <v>329</v>
      </c>
      <c r="E434" t="s">
        <v>47</v>
      </c>
      <c r="F434" t="s">
        <v>51</v>
      </c>
    </row>
    <row r="435" spans="1:6" x14ac:dyDescent="0.35">
      <c r="A435" s="2">
        <v>45571</v>
      </c>
      <c r="B435" t="s">
        <v>9</v>
      </c>
      <c r="C435" t="s">
        <v>22</v>
      </c>
      <c r="D435">
        <v>185</v>
      </c>
      <c r="E435" t="s">
        <v>47</v>
      </c>
      <c r="F435" t="s">
        <v>52</v>
      </c>
    </row>
    <row r="436" spans="1:6" x14ac:dyDescent="0.35">
      <c r="A436" s="2">
        <v>45571</v>
      </c>
      <c r="B436" t="s">
        <v>6</v>
      </c>
      <c r="C436" t="s">
        <v>19</v>
      </c>
      <c r="D436">
        <v>303</v>
      </c>
      <c r="E436" t="s">
        <v>47</v>
      </c>
      <c r="F436" t="s">
        <v>52</v>
      </c>
    </row>
    <row r="437" spans="1:6" x14ac:dyDescent="0.35">
      <c r="A437" s="2">
        <v>45572</v>
      </c>
      <c r="B437" t="s">
        <v>10</v>
      </c>
      <c r="C437" t="s">
        <v>23</v>
      </c>
      <c r="D437">
        <v>227</v>
      </c>
      <c r="E437" t="s">
        <v>47</v>
      </c>
      <c r="F437" t="s">
        <v>50</v>
      </c>
    </row>
    <row r="438" spans="1:6" x14ac:dyDescent="0.35">
      <c r="A438" s="2">
        <v>45572</v>
      </c>
      <c r="B438" t="s">
        <v>13</v>
      </c>
      <c r="C438" t="s">
        <v>27</v>
      </c>
      <c r="D438">
        <v>411</v>
      </c>
      <c r="E438" t="s">
        <v>47</v>
      </c>
      <c r="F438" t="s">
        <v>50</v>
      </c>
    </row>
    <row r="439" spans="1:6" x14ac:dyDescent="0.35">
      <c r="A439" s="2">
        <v>45573</v>
      </c>
      <c r="B439" t="s">
        <v>14</v>
      </c>
      <c r="C439" t="s">
        <v>29</v>
      </c>
      <c r="D439">
        <v>238</v>
      </c>
      <c r="E439" t="s">
        <v>47</v>
      </c>
      <c r="F439" t="s">
        <v>50</v>
      </c>
    </row>
    <row r="440" spans="1:6" x14ac:dyDescent="0.35">
      <c r="A440" s="2">
        <v>45574</v>
      </c>
      <c r="B440" t="s">
        <v>7</v>
      </c>
      <c r="C440" t="s">
        <v>39</v>
      </c>
      <c r="D440">
        <v>268</v>
      </c>
      <c r="E440" t="s">
        <v>47</v>
      </c>
      <c r="F440" t="s">
        <v>51</v>
      </c>
    </row>
    <row r="441" spans="1:6" x14ac:dyDescent="0.35">
      <c r="A441" s="2">
        <v>45574</v>
      </c>
      <c r="B441" t="s">
        <v>8</v>
      </c>
      <c r="C441" t="s">
        <v>34</v>
      </c>
      <c r="D441">
        <v>499</v>
      </c>
      <c r="E441" t="s">
        <v>47</v>
      </c>
      <c r="F441" t="s">
        <v>52</v>
      </c>
    </row>
    <row r="442" spans="1:6" x14ac:dyDescent="0.35">
      <c r="A442" s="2">
        <v>45575</v>
      </c>
      <c r="B442" t="s">
        <v>12</v>
      </c>
      <c r="C442" t="s">
        <v>35</v>
      </c>
      <c r="D442">
        <v>222</v>
      </c>
      <c r="E442" t="s">
        <v>47</v>
      </c>
      <c r="F442" t="s">
        <v>49</v>
      </c>
    </row>
    <row r="443" spans="1:6" x14ac:dyDescent="0.35">
      <c r="A443" s="2">
        <v>45576</v>
      </c>
      <c r="B443" t="s">
        <v>13</v>
      </c>
      <c r="C443" t="s">
        <v>27</v>
      </c>
      <c r="D443">
        <v>149</v>
      </c>
      <c r="E443" t="s">
        <v>47</v>
      </c>
      <c r="F443" t="s">
        <v>52</v>
      </c>
    </row>
    <row r="444" spans="1:6" x14ac:dyDescent="0.35">
      <c r="A444" s="2">
        <v>45576</v>
      </c>
      <c r="B444" t="s">
        <v>6</v>
      </c>
      <c r="C444" t="s">
        <v>19</v>
      </c>
      <c r="D444">
        <v>236</v>
      </c>
      <c r="E444" t="s">
        <v>47</v>
      </c>
      <c r="F444" t="s">
        <v>51</v>
      </c>
    </row>
    <row r="445" spans="1:6" x14ac:dyDescent="0.35">
      <c r="A445" s="2">
        <v>45577</v>
      </c>
      <c r="B445" t="s">
        <v>15</v>
      </c>
      <c r="C445" t="s">
        <v>30</v>
      </c>
      <c r="D445">
        <v>2487</v>
      </c>
      <c r="E445" t="s">
        <v>48</v>
      </c>
      <c r="F445" t="s">
        <v>51</v>
      </c>
    </row>
    <row r="446" spans="1:6" x14ac:dyDescent="0.35">
      <c r="A446" s="2">
        <v>45577</v>
      </c>
      <c r="B446" t="s">
        <v>11</v>
      </c>
      <c r="C446" t="s">
        <v>24</v>
      </c>
      <c r="D446">
        <v>468</v>
      </c>
      <c r="E446" t="s">
        <v>47</v>
      </c>
      <c r="F446" t="s">
        <v>52</v>
      </c>
    </row>
    <row r="447" spans="1:6" x14ac:dyDescent="0.35">
      <c r="A447" s="2">
        <v>45578</v>
      </c>
      <c r="B447" t="s">
        <v>10</v>
      </c>
      <c r="C447" t="s">
        <v>33</v>
      </c>
      <c r="D447">
        <v>450</v>
      </c>
      <c r="E447" t="s">
        <v>47</v>
      </c>
      <c r="F447" t="s">
        <v>50</v>
      </c>
    </row>
    <row r="448" spans="1:6" x14ac:dyDescent="0.35">
      <c r="A448" s="2">
        <v>45579</v>
      </c>
      <c r="B448" t="s">
        <v>8</v>
      </c>
      <c r="C448" t="s">
        <v>34</v>
      </c>
      <c r="D448">
        <v>77</v>
      </c>
      <c r="E448" t="s">
        <v>47</v>
      </c>
      <c r="F448" t="s">
        <v>51</v>
      </c>
    </row>
    <row r="449" spans="1:6" x14ac:dyDescent="0.35">
      <c r="A449" s="2">
        <v>45579</v>
      </c>
      <c r="B449" t="s">
        <v>10</v>
      </c>
      <c r="C449" t="s">
        <v>23</v>
      </c>
      <c r="D449">
        <v>180</v>
      </c>
      <c r="E449" t="s">
        <v>47</v>
      </c>
      <c r="F449" t="s">
        <v>51</v>
      </c>
    </row>
    <row r="450" spans="1:6" x14ac:dyDescent="0.35">
      <c r="A450" s="2">
        <v>45580</v>
      </c>
      <c r="B450" t="s">
        <v>10</v>
      </c>
      <c r="C450" t="s">
        <v>23</v>
      </c>
      <c r="D450">
        <v>328</v>
      </c>
      <c r="E450" t="s">
        <v>47</v>
      </c>
      <c r="F450" t="s">
        <v>52</v>
      </c>
    </row>
    <row r="451" spans="1:6" x14ac:dyDescent="0.35">
      <c r="A451" s="2">
        <v>45581</v>
      </c>
      <c r="B451" t="s">
        <v>14</v>
      </c>
      <c r="C451" t="s">
        <v>29</v>
      </c>
      <c r="D451">
        <v>23</v>
      </c>
      <c r="E451" t="s">
        <v>47</v>
      </c>
      <c r="F451" t="s">
        <v>52</v>
      </c>
    </row>
    <row r="452" spans="1:6" x14ac:dyDescent="0.35">
      <c r="A452" s="2">
        <v>45581</v>
      </c>
      <c r="B452" t="s">
        <v>13</v>
      </c>
      <c r="C452" t="s">
        <v>27</v>
      </c>
      <c r="D452">
        <v>86</v>
      </c>
      <c r="E452" t="s">
        <v>47</v>
      </c>
      <c r="F452" t="s">
        <v>51</v>
      </c>
    </row>
    <row r="453" spans="1:6" x14ac:dyDescent="0.35">
      <c r="A453" s="2">
        <v>45582</v>
      </c>
      <c r="B453" t="s">
        <v>17</v>
      </c>
      <c r="C453" t="s">
        <v>40</v>
      </c>
      <c r="D453">
        <v>314</v>
      </c>
      <c r="E453" t="s">
        <v>47</v>
      </c>
      <c r="F453" t="s">
        <v>49</v>
      </c>
    </row>
    <row r="454" spans="1:6" x14ac:dyDescent="0.35">
      <c r="A454" s="2">
        <v>45583</v>
      </c>
      <c r="B454" t="s">
        <v>16</v>
      </c>
      <c r="C454" t="s">
        <v>31</v>
      </c>
      <c r="D454">
        <v>3647</v>
      </c>
      <c r="E454" t="s">
        <v>48</v>
      </c>
      <c r="F454" t="s">
        <v>52</v>
      </c>
    </row>
    <row r="455" spans="1:6" x14ac:dyDescent="0.35">
      <c r="A455" s="2">
        <v>45583</v>
      </c>
      <c r="B455" t="s">
        <v>7</v>
      </c>
      <c r="C455" t="s">
        <v>43</v>
      </c>
      <c r="D455">
        <v>320</v>
      </c>
      <c r="E455" t="s">
        <v>47</v>
      </c>
      <c r="F455" t="s">
        <v>51</v>
      </c>
    </row>
    <row r="456" spans="1:6" x14ac:dyDescent="0.35">
      <c r="A456" s="2">
        <v>45584</v>
      </c>
      <c r="B456" t="s">
        <v>17</v>
      </c>
      <c r="C456" t="s">
        <v>37</v>
      </c>
      <c r="D456">
        <v>432</v>
      </c>
      <c r="E456" t="s">
        <v>47</v>
      </c>
      <c r="F456" t="s">
        <v>52</v>
      </c>
    </row>
    <row r="457" spans="1:6" x14ac:dyDescent="0.35">
      <c r="A457" s="2">
        <v>45585</v>
      </c>
      <c r="B457" t="s">
        <v>16</v>
      </c>
      <c r="C457" t="s">
        <v>45</v>
      </c>
      <c r="D457">
        <v>3521</v>
      </c>
      <c r="E457" t="s">
        <v>48</v>
      </c>
      <c r="F457" t="s">
        <v>52</v>
      </c>
    </row>
    <row r="458" spans="1:6" x14ac:dyDescent="0.35">
      <c r="A458" s="2">
        <v>45585</v>
      </c>
      <c r="B458" t="s">
        <v>10</v>
      </c>
      <c r="C458" t="s">
        <v>23</v>
      </c>
      <c r="D458">
        <v>89</v>
      </c>
      <c r="E458" t="s">
        <v>47</v>
      </c>
      <c r="F458" t="s">
        <v>52</v>
      </c>
    </row>
    <row r="459" spans="1:6" x14ac:dyDescent="0.35">
      <c r="A459" s="2">
        <v>45585</v>
      </c>
      <c r="B459" t="s">
        <v>6</v>
      </c>
      <c r="C459" t="s">
        <v>28</v>
      </c>
      <c r="D459">
        <v>454</v>
      </c>
      <c r="E459" t="s">
        <v>47</v>
      </c>
      <c r="F459" t="s">
        <v>52</v>
      </c>
    </row>
    <row r="460" spans="1:6" x14ac:dyDescent="0.35">
      <c r="A460" s="2">
        <v>45586</v>
      </c>
      <c r="B460" t="s">
        <v>9</v>
      </c>
      <c r="C460" t="s">
        <v>26</v>
      </c>
      <c r="D460">
        <v>16</v>
      </c>
      <c r="E460" t="s">
        <v>47</v>
      </c>
      <c r="F460" t="s">
        <v>51</v>
      </c>
    </row>
    <row r="461" spans="1:6" x14ac:dyDescent="0.35">
      <c r="A461" s="2">
        <v>45587</v>
      </c>
      <c r="B461" t="s">
        <v>14</v>
      </c>
      <c r="C461" t="s">
        <v>41</v>
      </c>
      <c r="D461">
        <v>47</v>
      </c>
      <c r="E461" t="s">
        <v>47</v>
      </c>
      <c r="F461" t="s">
        <v>50</v>
      </c>
    </row>
    <row r="462" spans="1:6" x14ac:dyDescent="0.35">
      <c r="A462" s="2">
        <v>45588</v>
      </c>
      <c r="B462" t="s">
        <v>13</v>
      </c>
      <c r="C462" t="s">
        <v>27</v>
      </c>
      <c r="D462">
        <v>368</v>
      </c>
      <c r="E462" t="s">
        <v>47</v>
      </c>
      <c r="F462" t="s">
        <v>49</v>
      </c>
    </row>
    <row r="463" spans="1:6" x14ac:dyDescent="0.35">
      <c r="A463" s="2">
        <v>45588</v>
      </c>
      <c r="B463" t="s">
        <v>7</v>
      </c>
      <c r="C463" t="s">
        <v>43</v>
      </c>
      <c r="D463">
        <v>111</v>
      </c>
      <c r="E463" t="s">
        <v>47</v>
      </c>
      <c r="F463" t="s">
        <v>49</v>
      </c>
    </row>
    <row r="464" spans="1:6" x14ac:dyDescent="0.35">
      <c r="A464" s="2">
        <v>45589</v>
      </c>
      <c r="B464" t="s">
        <v>10</v>
      </c>
      <c r="C464" t="s">
        <v>33</v>
      </c>
      <c r="D464">
        <v>207</v>
      </c>
      <c r="E464" t="s">
        <v>47</v>
      </c>
      <c r="F464" t="s">
        <v>49</v>
      </c>
    </row>
    <row r="465" spans="1:6" x14ac:dyDescent="0.35">
      <c r="A465" s="2">
        <v>45590</v>
      </c>
      <c r="B465" t="s">
        <v>15</v>
      </c>
      <c r="C465" t="s">
        <v>38</v>
      </c>
      <c r="D465">
        <v>969</v>
      </c>
      <c r="E465" t="s">
        <v>48</v>
      </c>
      <c r="F465" t="s">
        <v>49</v>
      </c>
    </row>
    <row r="466" spans="1:6" x14ac:dyDescent="0.35">
      <c r="A466" s="2">
        <v>45590</v>
      </c>
      <c r="B466" t="s">
        <v>14</v>
      </c>
      <c r="C466" t="s">
        <v>36</v>
      </c>
      <c r="D466">
        <v>56</v>
      </c>
      <c r="E466" t="s">
        <v>47</v>
      </c>
      <c r="F466" t="s">
        <v>52</v>
      </c>
    </row>
    <row r="467" spans="1:6" x14ac:dyDescent="0.35">
      <c r="A467" s="2">
        <v>45590</v>
      </c>
      <c r="B467" t="s">
        <v>11</v>
      </c>
      <c r="C467" t="s">
        <v>42</v>
      </c>
      <c r="D467">
        <v>424</v>
      </c>
      <c r="E467" t="s">
        <v>47</v>
      </c>
      <c r="F467" t="s">
        <v>52</v>
      </c>
    </row>
    <row r="468" spans="1:6" x14ac:dyDescent="0.35">
      <c r="A468" s="2">
        <v>45591</v>
      </c>
      <c r="B468" t="s">
        <v>14</v>
      </c>
      <c r="C468" t="s">
        <v>29</v>
      </c>
      <c r="D468">
        <v>349</v>
      </c>
      <c r="E468" t="s">
        <v>47</v>
      </c>
      <c r="F468" t="s">
        <v>52</v>
      </c>
    </row>
    <row r="469" spans="1:6" x14ac:dyDescent="0.35">
      <c r="A469" s="2">
        <v>45592</v>
      </c>
      <c r="B469" t="s">
        <v>9</v>
      </c>
      <c r="C469" t="s">
        <v>26</v>
      </c>
      <c r="D469">
        <v>401</v>
      </c>
      <c r="E469" t="s">
        <v>47</v>
      </c>
      <c r="F469" t="s">
        <v>49</v>
      </c>
    </row>
    <row r="470" spans="1:6" x14ac:dyDescent="0.35">
      <c r="A470" s="2">
        <v>45593</v>
      </c>
      <c r="B470" t="s">
        <v>17</v>
      </c>
      <c r="C470" t="s">
        <v>40</v>
      </c>
      <c r="D470">
        <v>449</v>
      </c>
      <c r="E470" t="s">
        <v>47</v>
      </c>
      <c r="F470" t="s">
        <v>52</v>
      </c>
    </row>
    <row r="471" spans="1:6" x14ac:dyDescent="0.35">
      <c r="A471" s="2">
        <v>45593</v>
      </c>
      <c r="B471" t="s">
        <v>6</v>
      </c>
      <c r="C471" t="s">
        <v>28</v>
      </c>
      <c r="D471">
        <v>88</v>
      </c>
      <c r="E471" t="s">
        <v>47</v>
      </c>
      <c r="F471" t="s">
        <v>50</v>
      </c>
    </row>
    <row r="472" spans="1:6" x14ac:dyDescent="0.35">
      <c r="A472" s="2">
        <v>45594</v>
      </c>
      <c r="B472" t="s">
        <v>17</v>
      </c>
      <c r="C472" t="s">
        <v>40</v>
      </c>
      <c r="D472">
        <v>380</v>
      </c>
      <c r="E472" t="s">
        <v>47</v>
      </c>
      <c r="F472" t="s">
        <v>51</v>
      </c>
    </row>
    <row r="473" spans="1:6" x14ac:dyDescent="0.35">
      <c r="A473" s="2">
        <v>45594</v>
      </c>
      <c r="B473" t="s">
        <v>9</v>
      </c>
      <c r="C473" t="s">
        <v>26</v>
      </c>
      <c r="D473">
        <v>383</v>
      </c>
      <c r="E473" t="s">
        <v>47</v>
      </c>
      <c r="F473" t="s">
        <v>51</v>
      </c>
    </row>
    <row r="474" spans="1:6" x14ac:dyDescent="0.35">
      <c r="A474" s="2">
        <v>45595</v>
      </c>
      <c r="B474" t="s">
        <v>7</v>
      </c>
      <c r="C474" t="s">
        <v>20</v>
      </c>
      <c r="D474">
        <v>224</v>
      </c>
      <c r="E474" t="s">
        <v>47</v>
      </c>
      <c r="F474" t="s">
        <v>51</v>
      </c>
    </row>
    <row r="475" spans="1:6" x14ac:dyDescent="0.35">
      <c r="A475" s="2">
        <v>45595</v>
      </c>
      <c r="B475" t="s">
        <v>9</v>
      </c>
      <c r="C475" t="s">
        <v>26</v>
      </c>
      <c r="D475">
        <v>275</v>
      </c>
      <c r="E475" t="s">
        <v>47</v>
      </c>
      <c r="F475" t="s">
        <v>52</v>
      </c>
    </row>
    <row r="476" spans="1:6" x14ac:dyDescent="0.35">
      <c r="A476" s="2">
        <v>45596</v>
      </c>
      <c r="B476" t="s">
        <v>9</v>
      </c>
      <c r="C476" t="s">
        <v>22</v>
      </c>
      <c r="D476">
        <v>156</v>
      </c>
      <c r="E476" t="s">
        <v>47</v>
      </c>
      <c r="F476" t="s">
        <v>50</v>
      </c>
    </row>
    <row r="477" spans="1:6" x14ac:dyDescent="0.35">
      <c r="A477" s="2">
        <v>45597</v>
      </c>
      <c r="B477" t="s">
        <v>7</v>
      </c>
      <c r="C477" t="s">
        <v>20</v>
      </c>
      <c r="D477">
        <v>156</v>
      </c>
      <c r="E477" t="s">
        <v>47</v>
      </c>
      <c r="F477" t="s">
        <v>49</v>
      </c>
    </row>
    <row r="478" spans="1:6" x14ac:dyDescent="0.35">
      <c r="A478" s="2">
        <v>45598</v>
      </c>
      <c r="B478" t="s">
        <v>9</v>
      </c>
      <c r="C478" t="s">
        <v>26</v>
      </c>
      <c r="D478">
        <v>150</v>
      </c>
      <c r="E478" t="s">
        <v>47</v>
      </c>
      <c r="F478" t="s">
        <v>49</v>
      </c>
    </row>
    <row r="479" spans="1:6" x14ac:dyDescent="0.35">
      <c r="A479" s="2">
        <v>45599</v>
      </c>
      <c r="B479" t="s">
        <v>12</v>
      </c>
      <c r="C479" t="s">
        <v>25</v>
      </c>
      <c r="D479">
        <v>73</v>
      </c>
      <c r="E479" t="s">
        <v>47</v>
      </c>
      <c r="F479" t="s">
        <v>49</v>
      </c>
    </row>
    <row r="480" spans="1:6" x14ac:dyDescent="0.35">
      <c r="A480" s="2">
        <v>45600</v>
      </c>
      <c r="B480" t="s">
        <v>13</v>
      </c>
      <c r="C480" t="s">
        <v>27</v>
      </c>
      <c r="D480">
        <v>165</v>
      </c>
      <c r="E480" t="s">
        <v>47</v>
      </c>
      <c r="F480" t="s">
        <v>49</v>
      </c>
    </row>
    <row r="481" spans="1:6" x14ac:dyDescent="0.35">
      <c r="A481" s="2">
        <v>45600</v>
      </c>
      <c r="B481" t="s">
        <v>7</v>
      </c>
      <c r="C481" t="s">
        <v>39</v>
      </c>
      <c r="D481">
        <v>154</v>
      </c>
      <c r="E481" t="s">
        <v>47</v>
      </c>
      <c r="F481" t="s">
        <v>50</v>
      </c>
    </row>
    <row r="482" spans="1:6" x14ac:dyDescent="0.35">
      <c r="A482" s="2">
        <v>45601</v>
      </c>
      <c r="B482" t="s">
        <v>12</v>
      </c>
      <c r="C482" t="s">
        <v>25</v>
      </c>
      <c r="D482">
        <v>15</v>
      </c>
      <c r="E482" t="s">
        <v>47</v>
      </c>
      <c r="F482" t="s">
        <v>52</v>
      </c>
    </row>
    <row r="483" spans="1:6" x14ac:dyDescent="0.35">
      <c r="A483" s="2">
        <v>45602</v>
      </c>
      <c r="B483" t="s">
        <v>10</v>
      </c>
      <c r="C483" t="s">
        <v>33</v>
      </c>
      <c r="D483">
        <v>413</v>
      </c>
      <c r="E483" t="s">
        <v>47</v>
      </c>
      <c r="F483" t="s">
        <v>52</v>
      </c>
    </row>
    <row r="484" spans="1:6" x14ac:dyDescent="0.35">
      <c r="A484" s="2">
        <v>45603</v>
      </c>
      <c r="B484" t="s">
        <v>7</v>
      </c>
      <c r="C484" t="s">
        <v>20</v>
      </c>
      <c r="D484">
        <v>327</v>
      </c>
      <c r="E484" t="s">
        <v>47</v>
      </c>
      <c r="F484" t="s">
        <v>52</v>
      </c>
    </row>
    <row r="485" spans="1:6" x14ac:dyDescent="0.35">
      <c r="A485" s="2">
        <v>45604</v>
      </c>
      <c r="B485" t="s">
        <v>10</v>
      </c>
      <c r="C485" t="s">
        <v>23</v>
      </c>
      <c r="D485">
        <v>463</v>
      </c>
      <c r="E485" t="s">
        <v>47</v>
      </c>
      <c r="F485" t="s">
        <v>49</v>
      </c>
    </row>
    <row r="486" spans="1:6" x14ac:dyDescent="0.35">
      <c r="A486" s="2">
        <v>45605</v>
      </c>
      <c r="B486" t="s">
        <v>11</v>
      </c>
      <c r="C486" t="s">
        <v>42</v>
      </c>
      <c r="D486">
        <v>106</v>
      </c>
      <c r="E486" t="s">
        <v>47</v>
      </c>
      <c r="F486" t="s">
        <v>52</v>
      </c>
    </row>
    <row r="487" spans="1:6" x14ac:dyDescent="0.35">
      <c r="A487" s="2">
        <v>45605</v>
      </c>
      <c r="B487" t="s">
        <v>12</v>
      </c>
      <c r="C487" t="s">
        <v>35</v>
      </c>
      <c r="D487">
        <v>498</v>
      </c>
      <c r="E487" t="s">
        <v>47</v>
      </c>
      <c r="F487" t="s">
        <v>50</v>
      </c>
    </row>
    <row r="488" spans="1:6" x14ac:dyDescent="0.35">
      <c r="A488" s="2">
        <v>45606</v>
      </c>
      <c r="B488" t="s">
        <v>14</v>
      </c>
      <c r="C488" t="s">
        <v>41</v>
      </c>
      <c r="D488">
        <v>77</v>
      </c>
      <c r="E488" t="s">
        <v>47</v>
      </c>
      <c r="F488" t="s">
        <v>50</v>
      </c>
    </row>
    <row r="489" spans="1:6" x14ac:dyDescent="0.35">
      <c r="A489" s="2">
        <v>45607</v>
      </c>
      <c r="B489" t="s">
        <v>10</v>
      </c>
      <c r="C489" t="s">
        <v>23</v>
      </c>
      <c r="D489">
        <v>200</v>
      </c>
      <c r="E489" t="s">
        <v>47</v>
      </c>
      <c r="F489" t="s">
        <v>51</v>
      </c>
    </row>
    <row r="490" spans="1:6" x14ac:dyDescent="0.35">
      <c r="A490" s="2">
        <v>45607</v>
      </c>
      <c r="B490" t="s">
        <v>17</v>
      </c>
      <c r="C490" t="s">
        <v>40</v>
      </c>
      <c r="D490">
        <v>134</v>
      </c>
      <c r="E490" t="s">
        <v>47</v>
      </c>
      <c r="F490" t="s">
        <v>50</v>
      </c>
    </row>
    <row r="491" spans="1:6" x14ac:dyDescent="0.35">
      <c r="A491" s="2">
        <v>45608</v>
      </c>
      <c r="B491" t="s">
        <v>7</v>
      </c>
      <c r="C491" t="s">
        <v>20</v>
      </c>
      <c r="D491">
        <v>204</v>
      </c>
      <c r="E491" t="s">
        <v>47</v>
      </c>
      <c r="F491" t="s">
        <v>52</v>
      </c>
    </row>
    <row r="492" spans="1:6" x14ac:dyDescent="0.35">
      <c r="A492" s="2">
        <v>45609</v>
      </c>
      <c r="B492" t="s">
        <v>9</v>
      </c>
      <c r="C492" t="s">
        <v>26</v>
      </c>
      <c r="D492">
        <v>346</v>
      </c>
      <c r="E492" t="s">
        <v>47</v>
      </c>
      <c r="F492" t="s">
        <v>52</v>
      </c>
    </row>
    <row r="493" spans="1:6" x14ac:dyDescent="0.35">
      <c r="A493" s="2">
        <v>45609</v>
      </c>
      <c r="B493" t="s">
        <v>13</v>
      </c>
      <c r="C493" t="s">
        <v>27</v>
      </c>
      <c r="D493">
        <v>219</v>
      </c>
      <c r="E493" t="s">
        <v>47</v>
      </c>
      <c r="F493" t="s">
        <v>50</v>
      </c>
    </row>
    <row r="494" spans="1:6" x14ac:dyDescent="0.35">
      <c r="A494" s="2">
        <v>45610</v>
      </c>
      <c r="B494" t="s">
        <v>11</v>
      </c>
      <c r="C494" t="s">
        <v>42</v>
      </c>
      <c r="D494">
        <v>475</v>
      </c>
      <c r="E494" t="s">
        <v>47</v>
      </c>
      <c r="F494" t="s">
        <v>52</v>
      </c>
    </row>
    <row r="495" spans="1:6" x14ac:dyDescent="0.35">
      <c r="A495" s="2">
        <v>45611</v>
      </c>
      <c r="B495" t="s">
        <v>9</v>
      </c>
      <c r="C495" t="s">
        <v>22</v>
      </c>
      <c r="D495">
        <v>457</v>
      </c>
      <c r="E495" t="s">
        <v>47</v>
      </c>
      <c r="F495" t="s">
        <v>51</v>
      </c>
    </row>
    <row r="496" spans="1:6" x14ac:dyDescent="0.35">
      <c r="A496" s="2">
        <v>45611</v>
      </c>
      <c r="B496" t="s">
        <v>10</v>
      </c>
      <c r="C496" t="s">
        <v>23</v>
      </c>
      <c r="D496">
        <v>212</v>
      </c>
      <c r="E496" t="s">
        <v>47</v>
      </c>
      <c r="F496" t="s">
        <v>52</v>
      </c>
    </row>
    <row r="497" spans="1:6" x14ac:dyDescent="0.35">
      <c r="A497" s="2">
        <v>45612</v>
      </c>
      <c r="B497" t="s">
        <v>12</v>
      </c>
      <c r="C497" t="s">
        <v>25</v>
      </c>
      <c r="D497">
        <v>16</v>
      </c>
      <c r="E497" t="s">
        <v>47</v>
      </c>
      <c r="F497" t="s">
        <v>51</v>
      </c>
    </row>
    <row r="498" spans="1:6" x14ac:dyDescent="0.35">
      <c r="A498" s="2">
        <v>45613</v>
      </c>
      <c r="B498" t="s">
        <v>14</v>
      </c>
      <c r="C498" t="s">
        <v>41</v>
      </c>
      <c r="D498">
        <v>148</v>
      </c>
      <c r="E498" t="s">
        <v>47</v>
      </c>
      <c r="F498" t="s">
        <v>52</v>
      </c>
    </row>
    <row r="499" spans="1:6" x14ac:dyDescent="0.35">
      <c r="A499" s="2">
        <v>45613</v>
      </c>
      <c r="B499" t="s">
        <v>12</v>
      </c>
      <c r="C499" t="s">
        <v>25</v>
      </c>
      <c r="D499">
        <v>119</v>
      </c>
      <c r="E499" t="s">
        <v>47</v>
      </c>
      <c r="F499" t="s">
        <v>50</v>
      </c>
    </row>
    <row r="500" spans="1:6" x14ac:dyDescent="0.35">
      <c r="A500" s="2">
        <v>45614</v>
      </c>
      <c r="B500" t="s">
        <v>15</v>
      </c>
      <c r="C500" t="s">
        <v>38</v>
      </c>
      <c r="D500">
        <v>785</v>
      </c>
      <c r="E500" t="s">
        <v>48</v>
      </c>
      <c r="F500" t="s">
        <v>51</v>
      </c>
    </row>
    <row r="501" spans="1:6" x14ac:dyDescent="0.35">
      <c r="A501" s="2">
        <v>45614</v>
      </c>
      <c r="B501" t="s">
        <v>8</v>
      </c>
      <c r="C501" t="s">
        <v>21</v>
      </c>
      <c r="D501">
        <v>470</v>
      </c>
      <c r="E501" t="s">
        <v>47</v>
      </c>
      <c r="F501" t="s">
        <v>50</v>
      </c>
    </row>
    <row r="502" spans="1:6" x14ac:dyDescent="0.35">
      <c r="A502" s="2">
        <v>45614</v>
      </c>
      <c r="B502" t="s">
        <v>12</v>
      </c>
      <c r="C502" t="s">
        <v>25</v>
      </c>
      <c r="D502">
        <v>165</v>
      </c>
      <c r="E502" t="s">
        <v>47</v>
      </c>
      <c r="F502" t="s">
        <v>51</v>
      </c>
    </row>
    <row r="503" spans="1:6" x14ac:dyDescent="0.35">
      <c r="A503" s="2">
        <v>45615</v>
      </c>
      <c r="B503" t="s">
        <v>14</v>
      </c>
      <c r="C503" t="s">
        <v>29</v>
      </c>
      <c r="D503">
        <v>146</v>
      </c>
      <c r="E503" t="s">
        <v>47</v>
      </c>
      <c r="F503" t="s">
        <v>50</v>
      </c>
    </row>
    <row r="504" spans="1:6" x14ac:dyDescent="0.35">
      <c r="A504" s="2">
        <v>45615</v>
      </c>
      <c r="B504" t="s">
        <v>17</v>
      </c>
      <c r="C504" t="s">
        <v>37</v>
      </c>
      <c r="D504">
        <v>118</v>
      </c>
      <c r="E504" t="s">
        <v>47</v>
      </c>
      <c r="F504" t="s">
        <v>51</v>
      </c>
    </row>
    <row r="505" spans="1:6" x14ac:dyDescent="0.35">
      <c r="A505" s="2">
        <v>45616</v>
      </c>
      <c r="B505" t="s">
        <v>13</v>
      </c>
      <c r="C505" t="s">
        <v>27</v>
      </c>
      <c r="D505">
        <v>479</v>
      </c>
      <c r="E505" t="s">
        <v>47</v>
      </c>
      <c r="F505" t="s">
        <v>51</v>
      </c>
    </row>
    <row r="506" spans="1:6" x14ac:dyDescent="0.35">
      <c r="A506" s="2">
        <v>45617</v>
      </c>
      <c r="B506" t="s">
        <v>11</v>
      </c>
      <c r="C506" t="s">
        <v>42</v>
      </c>
      <c r="D506">
        <v>411</v>
      </c>
      <c r="E506" t="s">
        <v>47</v>
      </c>
      <c r="F506" t="s">
        <v>52</v>
      </c>
    </row>
    <row r="507" spans="1:6" x14ac:dyDescent="0.35">
      <c r="A507" s="2">
        <v>45618</v>
      </c>
      <c r="B507" t="s">
        <v>8</v>
      </c>
      <c r="C507" t="s">
        <v>34</v>
      </c>
      <c r="D507">
        <v>410</v>
      </c>
      <c r="E507" t="s">
        <v>47</v>
      </c>
      <c r="F507" t="s">
        <v>49</v>
      </c>
    </row>
    <row r="508" spans="1:6" x14ac:dyDescent="0.35">
      <c r="A508" s="2">
        <v>45619</v>
      </c>
      <c r="B508" t="s">
        <v>7</v>
      </c>
      <c r="C508" t="s">
        <v>20</v>
      </c>
      <c r="D508">
        <v>16</v>
      </c>
      <c r="E508" t="s">
        <v>47</v>
      </c>
      <c r="F508" t="s">
        <v>49</v>
      </c>
    </row>
    <row r="509" spans="1:6" x14ac:dyDescent="0.35">
      <c r="A509" s="2">
        <v>45619</v>
      </c>
      <c r="B509" t="s">
        <v>17</v>
      </c>
      <c r="C509" t="s">
        <v>40</v>
      </c>
      <c r="D509">
        <v>170</v>
      </c>
      <c r="E509" t="s">
        <v>47</v>
      </c>
      <c r="F509" t="s">
        <v>52</v>
      </c>
    </row>
    <row r="510" spans="1:6" x14ac:dyDescent="0.35">
      <c r="A510" s="2">
        <v>45620</v>
      </c>
      <c r="B510" t="s">
        <v>6</v>
      </c>
      <c r="C510" t="s">
        <v>28</v>
      </c>
      <c r="D510">
        <v>162</v>
      </c>
      <c r="E510" t="s">
        <v>47</v>
      </c>
      <c r="F510" t="s">
        <v>52</v>
      </c>
    </row>
    <row r="511" spans="1:6" x14ac:dyDescent="0.35">
      <c r="A511" s="2">
        <v>45620</v>
      </c>
      <c r="B511" t="s">
        <v>8</v>
      </c>
      <c r="C511" t="s">
        <v>34</v>
      </c>
      <c r="D511">
        <v>340</v>
      </c>
      <c r="E511" t="s">
        <v>47</v>
      </c>
      <c r="F511" t="s">
        <v>49</v>
      </c>
    </row>
    <row r="512" spans="1:6" x14ac:dyDescent="0.35">
      <c r="A512" s="2">
        <v>45621</v>
      </c>
      <c r="B512" t="s">
        <v>7</v>
      </c>
      <c r="C512" t="s">
        <v>43</v>
      </c>
      <c r="D512">
        <v>70</v>
      </c>
      <c r="E512" t="s">
        <v>47</v>
      </c>
      <c r="F512" t="s">
        <v>49</v>
      </c>
    </row>
    <row r="513" spans="1:6" x14ac:dyDescent="0.35">
      <c r="A513" s="2">
        <v>45622</v>
      </c>
      <c r="B513" t="s">
        <v>14</v>
      </c>
      <c r="C513" t="s">
        <v>29</v>
      </c>
      <c r="D513">
        <v>260</v>
      </c>
      <c r="E513" t="s">
        <v>47</v>
      </c>
      <c r="F513" t="s">
        <v>52</v>
      </c>
    </row>
    <row r="514" spans="1:6" x14ac:dyDescent="0.35">
      <c r="A514" s="2">
        <v>45622</v>
      </c>
      <c r="B514" t="s">
        <v>10</v>
      </c>
      <c r="C514" t="s">
        <v>33</v>
      </c>
      <c r="D514">
        <v>285</v>
      </c>
      <c r="E514" t="s">
        <v>47</v>
      </c>
      <c r="F514" t="s">
        <v>51</v>
      </c>
    </row>
    <row r="515" spans="1:6" x14ac:dyDescent="0.35">
      <c r="A515" s="2">
        <v>45623</v>
      </c>
      <c r="B515" t="s">
        <v>17</v>
      </c>
      <c r="C515" t="s">
        <v>40</v>
      </c>
      <c r="D515">
        <v>340</v>
      </c>
      <c r="E515" t="s">
        <v>47</v>
      </c>
      <c r="F515" t="s">
        <v>52</v>
      </c>
    </row>
    <row r="516" spans="1:6" x14ac:dyDescent="0.35">
      <c r="A516" s="2">
        <v>45623</v>
      </c>
      <c r="B516" t="s">
        <v>14</v>
      </c>
      <c r="C516" t="s">
        <v>41</v>
      </c>
      <c r="D516">
        <v>487</v>
      </c>
      <c r="E516" t="s">
        <v>47</v>
      </c>
      <c r="F516" t="s">
        <v>51</v>
      </c>
    </row>
    <row r="517" spans="1:6" x14ac:dyDescent="0.35">
      <c r="A517" s="2">
        <v>45624</v>
      </c>
      <c r="B517" t="s">
        <v>7</v>
      </c>
      <c r="C517" t="s">
        <v>20</v>
      </c>
      <c r="D517">
        <v>396</v>
      </c>
      <c r="E517" t="s">
        <v>47</v>
      </c>
      <c r="F517" t="s">
        <v>51</v>
      </c>
    </row>
    <row r="518" spans="1:6" x14ac:dyDescent="0.35">
      <c r="A518" s="2">
        <v>45625</v>
      </c>
      <c r="B518" t="s">
        <v>15</v>
      </c>
      <c r="C518" t="s">
        <v>38</v>
      </c>
      <c r="D518">
        <v>2103</v>
      </c>
      <c r="E518" t="s">
        <v>48</v>
      </c>
      <c r="F518" t="s">
        <v>51</v>
      </c>
    </row>
    <row r="519" spans="1:6" x14ac:dyDescent="0.35">
      <c r="A519" s="2">
        <v>45625</v>
      </c>
      <c r="B519" t="s">
        <v>14</v>
      </c>
      <c r="C519" t="s">
        <v>29</v>
      </c>
      <c r="D519">
        <v>481</v>
      </c>
      <c r="E519" t="s">
        <v>47</v>
      </c>
      <c r="F519" t="s">
        <v>50</v>
      </c>
    </row>
    <row r="520" spans="1:6" x14ac:dyDescent="0.35">
      <c r="A520" s="2">
        <v>45625</v>
      </c>
      <c r="B520" t="s">
        <v>8</v>
      </c>
      <c r="C520" t="s">
        <v>21</v>
      </c>
      <c r="D520">
        <v>353</v>
      </c>
      <c r="E520" t="s">
        <v>47</v>
      </c>
      <c r="F520" t="s">
        <v>49</v>
      </c>
    </row>
    <row r="521" spans="1:6" x14ac:dyDescent="0.35">
      <c r="A521" s="2">
        <v>45626</v>
      </c>
      <c r="B521" t="s">
        <v>12</v>
      </c>
      <c r="C521" t="s">
        <v>35</v>
      </c>
      <c r="D521">
        <v>291</v>
      </c>
      <c r="E521" t="s">
        <v>47</v>
      </c>
      <c r="F521" t="s">
        <v>49</v>
      </c>
    </row>
    <row r="522" spans="1:6" x14ac:dyDescent="0.35">
      <c r="A522" s="2">
        <v>45626</v>
      </c>
      <c r="B522" t="s">
        <v>7</v>
      </c>
      <c r="C522" t="s">
        <v>43</v>
      </c>
      <c r="D522">
        <v>422</v>
      </c>
      <c r="E522" t="s">
        <v>47</v>
      </c>
      <c r="F522" t="s">
        <v>52</v>
      </c>
    </row>
    <row r="523" spans="1:6" x14ac:dyDescent="0.35">
      <c r="A523" s="2">
        <v>45627</v>
      </c>
      <c r="B523" t="s">
        <v>13</v>
      </c>
      <c r="C523" t="s">
        <v>27</v>
      </c>
      <c r="D523">
        <v>257</v>
      </c>
      <c r="E523" t="s">
        <v>47</v>
      </c>
      <c r="F523" t="s">
        <v>49</v>
      </c>
    </row>
    <row r="524" spans="1:6" x14ac:dyDescent="0.35">
      <c r="A524" s="2">
        <v>45627</v>
      </c>
      <c r="B524" t="s">
        <v>6</v>
      </c>
      <c r="C524" t="s">
        <v>19</v>
      </c>
      <c r="D524">
        <v>461</v>
      </c>
      <c r="E524" t="s">
        <v>47</v>
      </c>
      <c r="F524" t="s">
        <v>49</v>
      </c>
    </row>
    <row r="525" spans="1:6" x14ac:dyDescent="0.35">
      <c r="A525" s="2">
        <v>45628</v>
      </c>
      <c r="B525" t="s">
        <v>7</v>
      </c>
      <c r="C525" t="s">
        <v>39</v>
      </c>
      <c r="D525">
        <v>160</v>
      </c>
      <c r="E525" t="s">
        <v>47</v>
      </c>
      <c r="F525" t="s">
        <v>52</v>
      </c>
    </row>
    <row r="526" spans="1:6" x14ac:dyDescent="0.35">
      <c r="A526" s="2">
        <v>45629</v>
      </c>
      <c r="B526" t="s">
        <v>17</v>
      </c>
      <c r="C526" t="s">
        <v>40</v>
      </c>
      <c r="D526">
        <v>264</v>
      </c>
      <c r="E526" t="s">
        <v>47</v>
      </c>
      <c r="F526" t="s">
        <v>49</v>
      </c>
    </row>
    <row r="527" spans="1:6" x14ac:dyDescent="0.35">
      <c r="A527" s="2">
        <v>45630</v>
      </c>
      <c r="B527" t="s">
        <v>12</v>
      </c>
      <c r="C527" t="s">
        <v>25</v>
      </c>
      <c r="D527">
        <v>312</v>
      </c>
      <c r="E527" t="s">
        <v>47</v>
      </c>
      <c r="F527" t="s">
        <v>51</v>
      </c>
    </row>
    <row r="528" spans="1:6" x14ac:dyDescent="0.35">
      <c r="A528" s="2">
        <v>45631</v>
      </c>
      <c r="B528" t="s">
        <v>8</v>
      </c>
      <c r="C528" t="s">
        <v>34</v>
      </c>
      <c r="D528">
        <v>182</v>
      </c>
      <c r="E528" t="s">
        <v>47</v>
      </c>
      <c r="F528" t="s">
        <v>49</v>
      </c>
    </row>
    <row r="529" spans="1:6" x14ac:dyDescent="0.35">
      <c r="A529" s="2">
        <v>45631</v>
      </c>
      <c r="B529" t="s">
        <v>7</v>
      </c>
      <c r="C529" t="s">
        <v>43</v>
      </c>
      <c r="D529">
        <v>66</v>
      </c>
      <c r="E529" t="s">
        <v>47</v>
      </c>
      <c r="F529" t="s">
        <v>50</v>
      </c>
    </row>
    <row r="530" spans="1:6" x14ac:dyDescent="0.35">
      <c r="A530" s="2">
        <v>45632</v>
      </c>
      <c r="B530" t="s">
        <v>8</v>
      </c>
      <c r="C530" t="s">
        <v>21</v>
      </c>
      <c r="D530">
        <v>459</v>
      </c>
      <c r="E530" t="s">
        <v>47</v>
      </c>
      <c r="F530" t="s">
        <v>51</v>
      </c>
    </row>
    <row r="531" spans="1:6" x14ac:dyDescent="0.35">
      <c r="A531" s="2">
        <v>45633</v>
      </c>
      <c r="B531" t="s">
        <v>12</v>
      </c>
      <c r="C531" t="s">
        <v>25</v>
      </c>
      <c r="D531">
        <v>66</v>
      </c>
      <c r="E531" t="s">
        <v>47</v>
      </c>
      <c r="F531" t="s">
        <v>49</v>
      </c>
    </row>
    <row r="532" spans="1:6" x14ac:dyDescent="0.35">
      <c r="A532" s="2">
        <v>45634</v>
      </c>
      <c r="B532" t="s">
        <v>7</v>
      </c>
      <c r="C532" t="s">
        <v>20</v>
      </c>
      <c r="D532">
        <v>475</v>
      </c>
      <c r="E532" t="s">
        <v>47</v>
      </c>
      <c r="F532" t="s">
        <v>52</v>
      </c>
    </row>
    <row r="533" spans="1:6" x14ac:dyDescent="0.35">
      <c r="A533" s="2">
        <v>45634</v>
      </c>
      <c r="B533" t="s">
        <v>6</v>
      </c>
      <c r="C533" t="s">
        <v>19</v>
      </c>
      <c r="D533">
        <v>393</v>
      </c>
      <c r="E533" t="s">
        <v>47</v>
      </c>
      <c r="F533" t="s">
        <v>51</v>
      </c>
    </row>
    <row r="534" spans="1:6" x14ac:dyDescent="0.35">
      <c r="A534" s="2">
        <v>45635</v>
      </c>
      <c r="B534" t="s">
        <v>13</v>
      </c>
      <c r="C534" t="s">
        <v>27</v>
      </c>
      <c r="D534">
        <v>497</v>
      </c>
      <c r="E534" t="s">
        <v>47</v>
      </c>
      <c r="F534" t="s">
        <v>51</v>
      </c>
    </row>
    <row r="535" spans="1:6" x14ac:dyDescent="0.35">
      <c r="A535" s="2">
        <v>45635</v>
      </c>
      <c r="B535" t="s">
        <v>7</v>
      </c>
      <c r="C535" t="s">
        <v>20</v>
      </c>
      <c r="D535">
        <v>489</v>
      </c>
      <c r="E535" t="s">
        <v>47</v>
      </c>
      <c r="F535" t="s">
        <v>51</v>
      </c>
    </row>
    <row r="536" spans="1:6" x14ac:dyDescent="0.35">
      <c r="A536" s="2">
        <v>45636</v>
      </c>
      <c r="B536" t="s">
        <v>15</v>
      </c>
      <c r="C536" t="s">
        <v>38</v>
      </c>
      <c r="D536">
        <v>996</v>
      </c>
      <c r="E536" t="s">
        <v>48</v>
      </c>
      <c r="F536" t="s">
        <v>50</v>
      </c>
    </row>
    <row r="537" spans="1:6" x14ac:dyDescent="0.35">
      <c r="A537" s="2">
        <v>45636</v>
      </c>
      <c r="B537" t="s">
        <v>7</v>
      </c>
      <c r="C537" t="s">
        <v>43</v>
      </c>
      <c r="D537">
        <v>121</v>
      </c>
      <c r="E537" t="s">
        <v>47</v>
      </c>
      <c r="F537" t="s">
        <v>52</v>
      </c>
    </row>
    <row r="538" spans="1:6" x14ac:dyDescent="0.35">
      <c r="A538" s="2">
        <v>45637</v>
      </c>
      <c r="B538" t="s">
        <v>14</v>
      </c>
      <c r="C538" t="s">
        <v>29</v>
      </c>
      <c r="D538">
        <v>236</v>
      </c>
      <c r="E538" t="s">
        <v>47</v>
      </c>
      <c r="F538" t="s">
        <v>49</v>
      </c>
    </row>
    <row r="539" spans="1:6" x14ac:dyDescent="0.35">
      <c r="A539" s="2">
        <v>45637</v>
      </c>
      <c r="B539" t="s">
        <v>10</v>
      </c>
      <c r="C539" t="s">
        <v>23</v>
      </c>
      <c r="D539">
        <v>440</v>
      </c>
      <c r="E539" t="s">
        <v>47</v>
      </c>
      <c r="F539" t="s">
        <v>51</v>
      </c>
    </row>
    <row r="540" spans="1:6" x14ac:dyDescent="0.35">
      <c r="A540" s="2">
        <v>45638</v>
      </c>
      <c r="B540" t="s">
        <v>9</v>
      </c>
      <c r="C540" t="s">
        <v>26</v>
      </c>
      <c r="D540">
        <v>117</v>
      </c>
      <c r="E540" t="s">
        <v>47</v>
      </c>
      <c r="F540" t="s">
        <v>51</v>
      </c>
    </row>
    <row r="541" spans="1:6" x14ac:dyDescent="0.35">
      <c r="A541" s="2">
        <v>45639</v>
      </c>
      <c r="B541" t="s">
        <v>10</v>
      </c>
      <c r="C541" t="s">
        <v>23</v>
      </c>
      <c r="D541">
        <v>133</v>
      </c>
      <c r="E541" t="s">
        <v>47</v>
      </c>
      <c r="F541" t="s">
        <v>52</v>
      </c>
    </row>
    <row r="542" spans="1:6" x14ac:dyDescent="0.35">
      <c r="A542" s="2">
        <v>45639</v>
      </c>
      <c r="B542" t="s">
        <v>17</v>
      </c>
      <c r="C542" t="s">
        <v>40</v>
      </c>
      <c r="D542">
        <v>246</v>
      </c>
      <c r="E542" t="s">
        <v>47</v>
      </c>
      <c r="F542" t="s">
        <v>52</v>
      </c>
    </row>
    <row r="543" spans="1:6" x14ac:dyDescent="0.35">
      <c r="A543" s="2">
        <v>45640</v>
      </c>
      <c r="B543" t="s">
        <v>7</v>
      </c>
      <c r="C543" t="s">
        <v>43</v>
      </c>
      <c r="D543">
        <v>251</v>
      </c>
      <c r="E543" t="s">
        <v>47</v>
      </c>
      <c r="F543" t="s">
        <v>52</v>
      </c>
    </row>
    <row r="544" spans="1:6" x14ac:dyDescent="0.35">
      <c r="A544" s="2">
        <v>45640</v>
      </c>
      <c r="B544" t="s">
        <v>6</v>
      </c>
      <c r="C544" t="s">
        <v>19</v>
      </c>
      <c r="D544">
        <v>218</v>
      </c>
      <c r="E544" t="s">
        <v>47</v>
      </c>
      <c r="F544" t="s">
        <v>50</v>
      </c>
    </row>
    <row r="545" spans="1:6" x14ac:dyDescent="0.35">
      <c r="A545" s="2">
        <v>45641</v>
      </c>
      <c r="B545" t="s">
        <v>12</v>
      </c>
      <c r="C545" t="s">
        <v>25</v>
      </c>
      <c r="D545">
        <v>177</v>
      </c>
      <c r="E545" t="s">
        <v>47</v>
      </c>
      <c r="F545" t="s">
        <v>49</v>
      </c>
    </row>
    <row r="546" spans="1:6" x14ac:dyDescent="0.35">
      <c r="A546" s="2">
        <v>45642</v>
      </c>
      <c r="B546" t="s">
        <v>17</v>
      </c>
      <c r="C546" t="s">
        <v>37</v>
      </c>
      <c r="D546">
        <v>105</v>
      </c>
      <c r="E546" t="s">
        <v>47</v>
      </c>
      <c r="F546" t="s">
        <v>50</v>
      </c>
    </row>
    <row r="547" spans="1:6" x14ac:dyDescent="0.35">
      <c r="A547" s="2">
        <v>45642</v>
      </c>
      <c r="B547" t="s">
        <v>6</v>
      </c>
      <c r="C547" t="s">
        <v>19</v>
      </c>
      <c r="D547">
        <v>91</v>
      </c>
      <c r="E547" t="s">
        <v>47</v>
      </c>
      <c r="F547" t="s">
        <v>49</v>
      </c>
    </row>
    <row r="548" spans="1:6" x14ac:dyDescent="0.35">
      <c r="A548" s="2">
        <v>45643</v>
      </c>
      <c r="B548" t="s">
        <v>6</v>
      </c>
      <c r="C548" t="s">
        <v>19</v>
      </c>
      <c r="D548">
        <v>156</v>
      </c>
      <c r="E548" t="s">
        <v>47</v>
      </c>
      <c r="F548" t="s">
        <v>51</v>
      </c>
    </row>
    <row r="549" spans="1:6" x14ac:dyDescent="0.35">
      <c r="A549" s="2">
        <v>45644</v>
      </c>
      <c r="B549" t="s">
        <v>6</v>
      </c>
      <c r="C549" t="s">
        <v>28</v>
      </c>
      <c r="D549">
        <v>419</v>
      </c>
      <c r="E549" t="s">
        <v>47</v>
      </c>
      <c r="F549" t="s">
        <v>52</v>
      </c>
    </row>
    <row r="550" spans="1:6" x14ac:dyDescent="0.35">
      <c r="A550" s="2">
        <v>45645</v>
      </c>
      <c r="B550" t="s">
        <v>11</v>
      </c>
      <c r="C550" t="s">
        <v>24</v>
      </c>
      <c r="D550">
        <v>32</v>
      </c>
      <c r="E550" t="s">
        <v>47</v>
      </c>
      <c r="F550" t="s">
        <v>49</v>
      </c>
    </row>
    <row r="551" spans="1:6" x14ac:dyDescent="0.35">
      <c r="A551" s="2">
        <v>45645</v>
      </c>
      <c r="B551" t="s">
        <v>9</v>
      </c>
      <c r="C551" t="s">
        <v>26</v>
      </c>
      <c r="D551">
        <v>265</v>
      </c>
      <c r="E551" t="s">
        <v>47</v>
      </c>
      <c r="F551" t="s">
        <v>52</v>
      </c>
    </row>
    <row r="552" spans="1:6" x14ac:dyDescent="0.35">
      <c r="A552" s="2">
        <v>45646</v>
      </c>
      <c r="B552" t="s">
        <v>9</v>
      </c>
      <c r="C552" t="s">
        <v>22</v>
      </c>
      <c r="D552">
        <v>115</v>
      </c>
      <c r="E552" t="s">
        <v>47</v>
      </c>
      <c r="F552" t="s">
        <v>50</v>
      </c>
    </row>
    <row r="553" spans="1:6" x14ac:dyDescent="0.35">
      <c r="A553" s="2">
        <v>45646</v>
      </c>
      <c r="B553" t="s">
        <v>17</v>
      </c>
      <c r="C553" t="s">
        <v>37</v>
      </c>
      <c r="D553">
        <v>140</v>
      </c>
      <c r="E553" t="s">
        <v>47</v>
      </c>
      <c r="F553" t="s">
        <v>50</v>
      </c>
    </row>
    <row r="554" spans="1:6" x14ac:dyDescent="0.35">
      <c r="A554" s="2">
        <v>45647</v>
      </c>
      <c r="B554" t="s">
        <v>13</v>
      </c>
      <c r="C554" t="s">
        <v>27</v>
      </c>
      <c r="D554">
        <v>467</v>
      </c>
      <c r="E554" t="s">
        <v>47</v>
      </c>
      <c r="F554" t="s">
        <v>52</v>
      </c>
    </row>
    <row r="555" spans="1:6" x14ac:dyDescent="0.35">
      <c r="A555" s="2">
        <v>45648</v>
      </c>
      <c r="B555" t="s">
        <v>18</v>
      </c>
      <c r="C555" t="s">
        <v>44</v>
      </c>
      <c r="D555">
        <v>2113</v>
      </c>
      <c r="E555" t="s">
        <v>48</v>
      </c>
      <c r="F555" t="s">
        <v>51</v>
      </c>
    </row>
    <row r="556" spans="1:6" x14ac:dyDescent="0.35">
      <c r="A556" s="2">
        <v>45648</v>
      </c>
      <c r="B556" t="s">
        <v>10</v>
      </c>
      <c r="C556" t="s">
        <v>33</v>
      </c>
      <c r="D556">
        <v>123</v>
      </c>
      <c r="E556" t="s">
        <v>47</v>
      </c>
      <c r="F556" t="s">
        <v>52</v>
      </c>
    </row>
    <row r="557" spans="1:6" x14ac:dyDescent="0.35">
      <c r="A557" s="2">
        <v>45649</v>
      </c>
      <c r="B557" t="s">
        <v>7</v>
      </c>
      <c r="C557" t="s">
        <v>43</v>
      </c>
      <c r="D557">
        <v>492</v>
      </c>
      <c r="E557" t="s">
        <v>47</v>
      </c>
      <c r="F557" t="s">
        <v>52</v>
      </c>
    </row>
    <row r="558" spans="1:6" x14ac:dyDescent="0.35">
      <c r="A558" s="2">
        <v>45649</v>
      </c>
      <c r="B558" t="s">
        <v>8</v>
      </c>
      <c r="C558" t="s">
        <v>34</v>
      </c>
      <c r="D558">
        <v>185</v>
      </c>
      <c r="E558" t="s">
        <v>47</v>
      </c>
      <c r="F558" t="s">
        <v>50</v>
      </c>
    </row>
    <row r="559" spans="1:6" x14ac:dyDescent="0.35">
      <c r="A559" s="2">
        <v>45650</v>
      </c>
      <c r="B559" t="s">
        <v>13</v>
      </c>
      <c r="C559" t="s">
        <v>27</v>
      </c>
      <c r="D559">
        <v>15</v>
      </c>
      <c r="E559" t="s">
        <v>47</v>
      </c>
      <c r="F559" t="s">
        <v>52</v>
      </c>
    </row>
    <row r="560" spans="1:6" x14ac:dyDescent="0.35">
      <c r="A560" s="2">
        <v>45650</v>
      </c>
      <c r="B560" t="s">
        <v>17</v>
      </c>
      <c r="C560" t="s">
        <v>40</v>
      </c>
      <c r="D560">
        <v>406</v>
      </c>
      <c r="E560" t="s">
        <v>47</v>
      </c>
      <c r="F560" t="s">
        <v>49</v>
      </c>
    </row>
    <row r="561" spans="1:6" x14ac:dyDescent="0.35">
      <c r="A561" s="2">
        <v>45651</v>
      </c>
      <c r="B561" t="s">
        <v>9</v>
      </c>
      <c r="C561" t="s">
        <v>26</v>
      </c>
      <c r="D561">
        <v>118</v>
      </c>
      <c r="E561" t="s">
        <v>47</v>
      </c>
      <c r="F561" t="s">
        <v>52</v>
      </c>
    </row>
    <row r="562" spans="1:6" x14ac:dyDescent="0.35">
      <c r="A562" s="2">
        <v>45651</v>
      </c>
      <c r="B562" t="s">
        <v>14</v>
      </c>
      <c r="C562" t="s">
        <v>29</v>
      </c>
      <c r="D562">
        <v>472</v>
      </c>
      <c r="E562" t="s">
        <v>47</v>
      </c>
      <c r="F562" t="s">
        <v>51</v>
      </c>
    </row>
    <row r="563" spans="1:6" x14ac:dyDescent="0.35">
      <c r="A563" s="2">
        <v>45652</v>
      </c>
      <c r="B563" t="s">
        <v>17</v>
      </c>
      <c r="C563" t="s">
        <v>40</v>
      </c>
      <c r="D563">
        <v>409</v>
      </c>
      <c r="E563" t="s">
        <v>47</v>
      </c>
      <c r="F563" t="s">
        <v>49</v>
      </c>
    </row>
    <row r="564" spans="1:6" x14ac:dyDescent="0.35">
      <c r="A564" s="2">
        <v>45653</v>
      </c>
      <c r="B564" t="s">
        <v>12</v>
      </c>
      <c r="C564" t="s">
        <v>35</v>
      </c>
      <c r="D564">
        <v>272</v>
      </c>
      <c r="E564" t="s">
        <v>47</v>
      </c>
      <c r="F564" t="s">
        <v>51</v>
      </c>
    </row>
    <row r="565" spans="1:6" x14ac:dyDescent="0.35">
      <c r="A565" s="2">
        <v>45653</v>
      </c>
      <c r="B565" t="s">
        <v>13</v>
      </c>
      <c r="C565" t="s">
        <v>27</v>
      </c>
      <c r="D565">
        <v>153</v>
      </c>
      <c r="E565" t="s">
        <v>47</v>
      </c>
      <c r="F565" t="s">
        <v>51</v>
      </c>
    </row>
    <row r="566" spans="1:6" x14ac:dyDescent="0.35">
      <c r="A566" s="2">
        <v>45654</v>
      </c>
      <c r="B566" t="s">
        <v>6</v>
      </c>
      <c r="C566" t="s">
        <v>28</v>
      </c>
      <c r="D566">
        <v>364</v>
      </c>
      <c r="E566" t="s">
        <v>47</v>
      </c>
      <c r="F566" t="s">
        <v>52</v>
      </c>
    </row>
    <row r="567" spans="1:6" x14ac:dyDescent="0.35">
      <c r="A567" s="2">
        <v>45654</v>
      </c>
      <c r="B567" t="s">
        <v>12</v>
      </c>
      <c r="C567" t="s">
        <v>35</v>
      </c>
      <c r="D567">
        <v>240</v>
      </c>
      <c r="E567" t="s">
        <v>47</v>
      </c>
      <c r="F567" t="s">
        <v>50</v>
      </c>
    </row>
    <row r="568" spans="1:6" x14ac:dyDescent="0.35">
      <c r="A568" s="2">
        <v>45655</v>
      </c>
      <c r="B568" t="s">
        <v>8</v>
      </c>
      <c r="C568" t="s">
        <v>34</v>
      </c>
      <c r="D568">
        <v>349</v>
      </c>
      <c r="E568" t="s">
        <v>47</v>
      </c>
      <c r="F568" t="s">
        <v>52</v>
      </c>
    </row>
    <row r="569" spans="1:6" x14ac:dyDescent="0.35">
      <c r="A569" s="2">
        <v>45655</v>
      </c>
      <c r="B569" t="s">
        <v>13</v>
      </c>
      <c r="C569" t="s">
        <v>27</v>
      </c>
      <c r="D569">
        <v>262</v>
      </c>
      <c r="E569" t="s">
        <v>47</v>
      </c>
      <c r="F569" t="s">
        <v>51</v>
      </c>
    </row>
    <row r="570" spans="1:6" x14ac:dyDescent="0.35">
      <c r="A570" s="2">
        <v>45656</v>
      </c>
      <c r="B570" t="s">
        <v>13</v>
      </c>
      <c r="C570" t="s">
        <v>27</v>
      </c>
      <c r="D570">
        <v>99</v>
      </c>
      <c r="E570" t="s">
        <v>47</v>
      </c>
      <c r="F570" t="s">
        <v>49</v>
      </c>
    </row>
    <row r="571" spans="1:6" x14ac:dyDescent="0.35">
      <c r="A571" s="2">
        <v>45656</v>
      </c>
      <c r="B571" t="s">
        <v>11</v>
      </c>
      <c r="C571" t="s">
        <v>24</v>
      </c>
      <c r="D571">
        <v>92</v>
      </c>
      <c r="E571" t="s">
        <v>47</v>
      </c>
      <c r="F571" t="s">
        <v>50</v>
      </c>
    </row>
    <row r="572" spans="1:6" x14ac:dyDescent="0.35">
      <c r="A572" s="2">
        <v>45657</v>
      </c>
      <c r="B572" t="s">
        <v>7</v>
      </c>
      <c r="C572" t="s">
        <v>39</v>
      </c>
      <c r="D572">
        <v>357</v>
      </c>
      <c r="E572" t="s">
        <v>47</v>
      </c>
      <c r="F572"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B325-47EA-482B-9E7C-00647A66CE41}">
  <dimension ref="A1:H51"/>
  <sheetViews>
    <sheetView topLeftCell="A30" workbookViewId="0">
      <selection activeCell="E3" sqref="E3"/>
    </sheetView>
  </sheetViews>
  <sheetFormatPr defaultRowHeight="14.5" x14ac:dyDescent="0.35"/>
  <cols>
    <col min="1" max="1" width="12.36328125" bestFit="1" customWidth="1"/>
    <col min="2" max="2" width="14" bestFit="1" customWidth="1"/>
    <col min="3" max="3" width="16.1796875" customWidth="1"/>
    <col min="4" max="4" width="12.90625" bestFit="1" customWidth="1"/>
    <col min="5" max="5" width="14" bestFit="1" customWidth="1"/>
    <col min="7" max="7" width="12.90625" bestFit="1" customWidth="1"/>
    <col min="8" max="8" width="14" bestFit="1" customWidth="1"/>
  </cols>
  <sheetData>
    <row r="1" spans="1:8" x14ac:dyDescent="0.35">
      <c r="A1" s="4" t="s">
        <v>4</v>
      </c>
      <c r="B1" t="s">
        <v>47</v>
      </c>
      <c r="D1" s="4" t="s">
        <v>4</v>
      </c>
      <c r="E1" t="s">
        <v>47</v>
      </c>
      <c r="G1" s="4" t="s">
        <v>4</v>
      </c>
      <c r="H1" t="s">
        <v>47</v>
      </c>
    </row>
    <row r="3" spans="1:8" x14ac:dyDescent="0.35">
      <c r="A3" s="4" t="s">
        <v>58</v>
      </c>
      <c r="B3" t="s">
        <v>72</v>
      </c>
      <c r="D3" s="4" t="s">
        <v>58</v>
      </c>
      <c r="E3" t="s">
        <v>72</v>
      </c>
      <c r="G3" s="4" t="s">
        <v>58</v>
      </c>
      <c r="H3" t="s">
        <v>72</v>
      </c>
    </row>
    <row r="4" spans="1:8" x14ac:dyDescent="0.35">
      <c r="A4" s="5" t="s">
        <v>60</v>
      </c>
      <c r="B4">
        <v>11285</v>
      </c>
      <c r="D4" s="5" t="s">
        <v>10</v>
      </c>
      <c r="E4">
        <v>13754</v>
      </c>
      <c r="G4" s="5" t="s">
        <v>10</v>
      </c>
      <c r="H4">
        <v>13754</v>
      </c>
    </row>
    <row r="5" spans="1:8" x14ac:dyDescent="0.35">
      <c r="A5" s="5" t="s">
        <v>61</v>
      </c>
      <c r="B5">
        <v>9338</v>
      </c>
      <c r="D5" s="5" t="s">
        <v>6</v>
      </c>
      <c r="E5">
        <v>14429</v>
      </c>
      <c r="G5" s="5" t="s">
        <v>6</v>
      </c>
      <c r="H5">
        <v>14429</v>
      </c>
    </row>
    <row r="6" spans="1:8" x14ac:dyDescent="0.35">
      <c r="A6" s="5" t="s">
        <v>62</v>
      </c>
      <c r="B6">
        <v>9830</v>
      </c>
      <c r="D6" s="5" t="s">
        <v>9</v>
      </c>
      <c r="E6">
        <v>12289</v>
      </c>
      <c r="G6" s="5" t="s">
        <v>9</v>
      </c>
      <c r="H6">
        <v>12289</v>
      </c>
    </row>
    <row r="7" spans="1:8" x14ac:dyDescent="0.35">
      <c r="A7" s="5" t="s">
        <v>63</v>
      </c>
      <c r="B7">
        <v>11130</v>
      </c>
      <c r="D7" s="5" t="s">
        <v>7</v>
      </c>
      <c r="E7">
        <v>17789</v>
      </c>
      <c r="G7" s="5" t="s">
        <v>7</v>
      </c>
      <c r="H7">
        <v>17789</v>
      </c>
    </row>
    <row r="8" spans="1:8" x14ac:dyDescent="0.35">
      <c r="A8" s="5" t="s">
        <v>64</v>
      </c>
      <c r="B8">
        <v>12513</v>
      </c>
      <c r="D8" s="5" t="s">
        <v>17</v>
      </c>
      <c r="E8">
        <v>14482</v>
      </c>
      <c r="G8" s="5" t="s">
        <v>17</v>
      </c>
      <c r="H8">
        <v>14482</v>
      </c>
    </row>
    <row r="9" spans="1:8" x14ac:dyDescent="0.35">
      <c r="A9" s="5" t="s">
        <v>65</v>
      </c>
      <c r="B9">
        <v>13310</v>
      </c>
      <c r="D9" s="5" t="s">
        <v>8</v>
      </c>
      <c r="E9">
        <v>11045</v>
      </c>
      <c r="G9" s="5" t="s">
        <v>8</v>
      </c>
      <c r="H9">
        <v>11045</v>
      </c>
    </row>
    <row r="10" spans="1:8" x14ac:dyDescent="0.35">
      <c r="A10" s="5" t="s">
        <v>66</v>
      </c>
      <c r="B10">
        <v>10638</v>
      </c>
      <c r="D10" s="5" t="s">
        <v>12</v>
      </c>
      <c r="E10">
        <v>11527</v>
      </c>
      <c r="G10" s="5" t="s">
        <v>12</v>
      </c>
      <c r="H10">
        <v>11527</v>
      </c>
    </row>
    <row r="11" spans="1:8" x14ac:dyDescent="0.35">
      <c r="A11" s="5" t="s">
        <v>67</v>
      </c>
      <c r="B11">
        <v>11936</v>
      </c>
      <c r="D11" s="5" t="s">
        <v>13</v>
      </c>
      <c r="E11">
        <v>17001</v>
      </c>
      <c r="G11" s="5" t="s">
        <v>13</v>
      </c>
      <c r="H11">
        <v>17001</v>
      </c>
    </row>
    <row r="12" spans="1:8" x14ac:dyDescent="0.35">
      <c r="A12" s="5" t="s">
        <v>68</v>
      </c>
      <c r="B12">
        <v>10537</v>
      </c>
      <c r="D12" s="5" t="s">
        <v>14</v>
      </c>
      <c r="E12">
        <v>13184</v>
      </c>
      <c r="G12" s="5" t="s">
        <v>14</v>
      </c>
      <c r="H12">
        <v>13184</v>
      </c>
    </row>
    <row r="13" spans="1:8" x14ac:dyDescent="0.35">
      <c r="A13" s="5" t="s">
        <v>69</v>
      </c>
      <c r="B13">
        <v>12504</v>
      </c>
      <c r="D13" s="5" t="s">
        <v>11</v>
      </c>
      <c r="E13">
        <v>11138</v>
      </c>
      <c r="G13" s="5" t="s">
        <v>11</v>
      </c>
      <c r="H13">
        <v>11138</v>
      </c>
    </row>
    <row r="14" spans="1:8" x14ac:dyDescent="0.35">
      <c r="A14" s="5" t="s">
        <v>70</v>
      </c>
      <c r="B14">
        <v>11399</v>
      </c>
      <c r="D14" s="5" t="s">
        <v>59</v>
      </c>
      <c r="E14">
        <v>136638</v>
      </c>
      <c r="G14" s="5" t="s">
        <v>59</v>
      </c>
      <c r="H14">
        <v>136638</v>
      </c>
    </row>
    <row r="15" spans="1:8" x14ac:dyDescent="0.35">
      <c r="A15" s="5" t="s">
        <v>71</v>
      </c>
      <c r="B15">
        <v>12218</v>
      </c>
    </row>
    <row r="16" spans="1:8" x14ac:dyDescent="0.35">
      <c r="A16" s="5" t="s">
        <v>59</v>
      </c>
      <c r="B16">
        <v>136638</v>
      </c>
    </row>
    <row r="50" spans="1:5" x14ac:dyDescent="0.35">
      <c r="A50" s="6" t="s">
        <v>53</v>
      </c>
      <c r="B50" s="7" t="s">
        <v>54</v>
      </c>
      <c r="C50" s="7" t="s">
        <v>55</v>
      </c>
      <c r="D50" s="7" t="s">
        <v>56</v>
      </c>
      <c r="E50" s="8" t="s">
        <v>57</v>
      </c>
    </row>
    <row r="51" spans="1:5" x14ac:dyDescent="0.35">
      <c r="A51" s="9">
        <f>SUMIFS(SpendingData[Amount],SpendingData[Type],"income")</f>
        <v>67386</v>
      </c>
      <c r="B51" s="10">
        <f>SUMIFS(SpendingData[Amount],SpendingData[Type],"expense")</f>
        <v>136638</v>
      </c>
      <c r="C51" s="11">
        <f>A51-B51</f>
        <v>-69252</v>
      </c>
      <c r="D51" s="12">
        <f>C51/A51</f>
        <v>-1.0276912118244146</v>
      </c>
      <c r="E51" s="13" t="str">
        <f>INDEX(SpendingData[Category],MATCH(_xlfn.MAXIFS(SpendingData[Amount],SpendingData[Type],"Expense"),SpendingData[Amount],0))</f>
        <v>Groceries</v>
      </c>
    </row>
  </sheetData>
  <conditionalFormatting sqref="A50:E51">
    <cfRule type="iconSet" priority="1">
      <iconSet iconSet="4Arrows">
        <cfvo type="percent" val="0"/>
        <cfvo type="percent" val="25"/>
        <cfvo type="percent" val="50"/>
        <cfvo type="percent" val="75"/>
      </iconSet>
    </cfRule>
  </conditionalFormatting>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9014-C870-4320-89D7-A334AA4A2192}">
  <dimension ref="A1:F572"/>
  <sheetViews>
    <sheetView topLeftCell="A31" workbookViewId="0">
      <selection activeCell="B2" sqref="B2"/>
    </sheetView>
  </sheetViews>
  <sheetFormatPr defaultRowHeight="14.5" x14ac:dyDescent="0.35"/>
  <cols>
    <col min="1" max="1" width="22.54296875" customWidth="1"/>
    <col min="2" max="2" width="15.81640625" customWidth="1"/>
    <col min="3" max="3" width="13.08984375" customWidth="1"/>
    <col min="4" max="4" width="9.6328125" customWidth="1"/>
    <col min="6" max="6" width="19.1796875" customWidth="1"/>
  </cols>
  <sheetData>
    <row r="1" spans="1:6" x14ac:dyDescent="0.35">
      <c r="A1" s="3" t="s">
        <v>0</v>
      </c>
      <c r="B1" s="3" t="s">
        <v>1</v>
      </c>
      <c r="C1" s="3" t="s">
        <v>2</v>
      </c>
      <c r="D1" s="3" t="s">
        <v>3</v>
      </c>
      <c r="E1" s="3" t="s">
        <v>4</v>
      </c>
      <c r="F1" s="3" t="s">
        <v>5</v>
      </c>
    </row>
    <row r="2" spans="1:6" x14ac:dyDescent="0.35">
      <c r="A2" s="2">
        <v>45292</v>
      </c>
      <c r="B2" t="s">
        <v>6</v>
      </c>
      <c r="C2" t="s">
        <v>19</v>
      </c>
      <c r="D2">
        <v>25</v>
      </c>
      <c r="E2" t="s">
        <v>47</v>
      </c>
      <c r="F2" t="s">
        <v>49</v>
      </c>
    </row>
    <row r="3" spans="1:6" x14ac:dyDescent="0.35">
      <c r="A3" s="2">
        <v>45293</v>
      </c>
      <c r="B3" t="s">
        <v>6</v>
      </c>
      <c r="C3" t="s">
        <v>19</v>
      </c>
      <c r="D3">
        <v>104</v>
      </c>
      <c r="E3" t="s">
        <v>47</v>
      </c>
      <c r="F3" t="s">
        <v>50</v>
      </c>
    </row>
    <row r="4" spans="1:6" x14ac:dyDescent="0.35">
      <c r="A4" s="2">
        <v>45294</v>
      </c>
      <c r="B4" t="s">
        <v>7</v>
      </c>
      <c r="C4" t="s">
        <v>20</v>
      </c>
      <c r="D4">
        <v>348</v>
      </c>
      <c r="E4" t="s">
        <v>47</v>
      </c>
      <c r="F4" t="s">
        <v>50</v>
      </c>
    </row>
    <row r="5" spans="1:6" x14ac:dyDescent="0.35">
      <c r="A5" s="2">
        <v>45294</v>
      </c>
      <c r="B5" t="s">
        <v>8</v>
      </c>
      <c r="C5" t="s">
        <v>21</v>
      </c>
      <c r="D5">
        <v>196</v>
      </c>
      <c r="E5" t="s">
        <v>47</v>
      </c>
      <c r="F5" t="s">
        <v>50</v>
      </c>
    </row>
    <row r="6" spans="1:6" x14ac:dyDescent="0.35">
      <c r="A6" s="2">
        <v>45295</v>
      </c>
      <c r="B6" t="s">
        <v>9</v>
      </c>
      <c r="C6" t="s">
        <v>22</v>
      </c>
      <c r="D6">
        <v>257</v>
      </c>
      <c r="E6" t="s">
        <v>47</v>
      </c>
      <c r="F6" t="s">
        <v>50</v>
      </c>
    </row>
    <row r="7" spans="1:6" x14ac:dyDescent="0.35">
      <c r="A7" s="2">
        <v>45295</v>
      </c>
      <c r="B7" t="s">
        <v>10</v>
      </c>
      <c r="C7" t="s">
        <v>23</v>
      </c>
      <c r="D7">
        <v>479</v>
      </c>
      <c r="E7" t="s">
        <v>47</v>
      </c>
      <c r="F7" t="s">
        <v>49</v>
      </c>
    </row>
    <row r="8" spans="1:6" x14ac:dyDescent="0.35">
      <c r="A8" s="2">
        <v>45296</v>
      </c>
      <c r="B8" t="s">
        <v>11</v>
      </c>
      <c r="C8" t="s">
        <v>24</v>
      </c>
      <c r="D8">
        <v>248</v>
      </c>
      <c r="E8" t="s">
        <v>47</v>
      </c>
      <c r="F8" t="s">
        <v>50</v>
      </c>
    </row>
    <row r="9" spans="1:6" x14ac:dyDescent="0.35">
      <c r="A9" s="2">
        <v>45296</v>
      </c>
      <c r="B9" t="s">
        <v>10</v>
      </c>
      <c r="C9" t="s">
        <v>23</v>
      </c>
      <c r="D9">
        <v>489</v>
      </c>
      <c r="E9" t="s">
        <v>47</v>
      </c>
      <c r="F9" t="s">
        <v>49</v>
      </c>
    </row>
    <row r="10" spans="1:6" x14ac:dyDescent="0.35">
      <c r="A10" s="2">
        <v>45297</v>
      </c>
      <c r="B10" t="s">
        <v>12</v>
      </c>
      <c r="C10" t="s">
        <v>25</v>
      </c>
      <c r="D10">
        <v>392</v>
      </c>
      <c r="E10" t="s">
        <v>47</v>
      </c>
      <c r="F10" t="s">
        <v>51</v>
      </c>
    </row>
    <row r="11" spans="1:6" x14ac:dyDescent="0.35">
      <c r="A11" s="2">
        <v>45298</v>
      </c>
      <c r="B11" t="s">
        <v>9</v>
      </c>
      <c r="C11" t="s">
        <v>26</v>
      </c>
      <c r="D11">
        <v>350</v>
      </c>
      <c r="E11" t="s">
        <v>47</v>
      </c>
      <c r="F11" t="s">
        <v>51</v>
      </c>
    </row>
    <row r="12" spans="1:6" x14ac:dyDescent="0.35">
      <c r="A12" s="2">
        <v>45298</v>
      </c>
      <c r="B12" t="s">
        <v>13</v>
      </c>
      <c r="C12" t="s">
        <v>27</v>
      </c>
      <c r="D12">
        <v>344</v>
      </c>
      <c r="E12" t="s">
        <v>47</v>
      </c>
      <c r="F12" t="s">
        <v>50</v>
      </c>
    </row>
    <row r="13" spans="1:6" x14ac:dyDescent="0.35">
      <c r="A13" s="2">
        <v>45299</v>
      </c>
      <c r="B13" t="s">
        <v>6</v>
      </c>
      <c r="C13" t="s">
        <v>19</v>
      </c>
      <c r="D13">
        <v>39</v>
      </c>
      <c r="E13" t="s">
        <v>47</v>
      </c>
      <c r="F13" t="s">
        <v>52</v>
      </c>
    </row>
    <row r="14" spans="1:6" x14ac:dyDescent="0.35">
      <c r="A14" s="2">
        <v>45300</v>
      </c>
      <c r="B14" t="s">
        <v>6</v>
      </c>
      <c r="C14" t="s">
        <v>28</v>
      </c>
      <c r="D14">
        <v>6</v>
      </c>
      <c r="E14" t="s">
        <v>47</v>
      </c>
      <c r="F14" t="s">
        <v>52</v>
      </c>
    </row>
    <row r="15" spans="1:6" x14ac:dyDescent="0.35">
      <c r="A15" s="2">
        <v>45300</v>
      </c>
      <c r="B15" t="s">
        <v>8</v>
      </c>
      <c r="C15" t="s">
        <v>21</v>
      </c>
      <c r="D15">
        <v>110</v>
      </c>
      <c r="E15" t="s">
        <v>47</v>
      </c>
      <c r="F15" t="s">
        <v>50</v>
      </c>
    </row>
    <row r="16" spans="1:6" x14ac:dyDescent="0.35">
      <c r="A16" s="2">
        <v>45301</v>
      </c>
      <c r="B16" t="s">
        <v>13</v>
      </c>
      <c r="C16" t="s">
        <v>27</v>
      </c>
      <c r="D16">
        <v>222</v>
      </c>
      <c r="E16" t="s">
        <v>47</v>
      </c>
      <c r="F16" t="s">
        <v>50</v>
      </c>
    </row>
    <row r="17" spans="1:6" x14ac:dyDescent="0.35">
      <c r="A17" s="2">
        <v>45302</v>
      </c>
      <c r="B17" t="s">
        <v>14</v>
      </c>
      <c r="C17" t="s">
        <v>29</v>
      </c>
      <c r="D17">
        <v>355</v>
      </c>
      <c r="E17" t="s">
        <v>47</v>
      </c>
      <c r="F17" t="s">
        <v>50</v>
      </c>
    </row>
    <row r="18" spans="1:6" x14ac:dyDescent="0.35">
      <c r="A18" s="2">
        <v>45302</v>
      </c>
      <c r="B18" t="s">
        <v>6</v>
      </c>
      <c r="C18" t="s">
        <v>28</v>
      </c>
      <c r="D18">
        <v>219</v>
      </c>
      <c r="E18" t="s">
        <v>47</v>
      </c>
      <c r="F18" t="s">
        <v>50</v>
      </c>
    </row>
    <row r="19" spans="1:6" x14ac:dyDescent="0.35">
      <c r="A19" s="2">
        <v>45303</v>
      </c>
      <c r="B19" t="s">
        <v>15</v>
      </c>
      <c r="C19" t="s">
        <v>30</v>
      </c>
      <c r="D19">
        <v>837</v>
      </c>
      <c r="E19" t="s">
        <v>48</v>
      </c>
      <c r="F19" t="s">
        <v>49</v>
      </c>
    </row>
    <row r="20" spans="1:6" x14ac:dyDescent="0.35">
      <c r="A20" s="2">
        <v>45303</v>
      </c>
      <c r="B20" t="s">
        <v>6</v>
      </c>
      <c r="C20" t="s">
        <v>28</v>
      </c>
      <c r="D20">
        <v>221</v>
      </c>
      <c r="E20" t="s">
        <v>47</v>
      </c>
      <c r="F20" t="s">
        <v>50</v>
      </c>
    </row>
    <row r="21" spans="1:6" x14ac:dyDescent="0.35">
      <c r="A21" s="2">
        <v>45304</v>
      </c>
      <c r="B21" t="s">
        <v>10</v>
      </c>
      <c r="C21" t="s">
        <v>23</v>
      </c>
      <c r="D21">
        <v>19</v>
      </c>
      <c r="E21" t="s">
        <v>47</v>
      </c>
      <c r="F21" t="s">
        <v>51</v>
      </c>
    </row>
    <row r="22" spans="1:6" x14ac:dyDescent="0.35">
      <c r="A22" s="2">
        <v>45305</v>
      </c>
      <c r="B22" t="s">
        <v>16</v>
      </c>
      <c r="C22" t="s">
        <v>31</v>
      </c>
      <c r="D22">
        <v>1867</v>
      </c>
      <c r="E22" t="s">
        <v>48</v>
      </c>
      <c r="F22" t="s">
        <v>51</v>
      </c>
    </row>
    <row r="23" spans="1:6" x14ac:dyDescent="0.35">
      <c r="A23" s="2">
        <v>45305</v>
      </c>
      <c r="B23" t="s">
        <v>6</v>
      </c>
      <c r="C23" t="s">
        <v>28</v>
      </c>
      <c r="D23">
        <v>67</v>
      </c>
      <c r="E23" t="s">
        <v>47</v>
      </c>
      <c r="F23" t="s">
        <v>49</v>
      </c>
    </row>
    <row r="24" spans="1:6" x14ac:dyDescent="0.35">
      <c r="A24" s="2">
        <v>45305</v>
      </c>
      <c r="B24" t="s">
        <v>11</v>
      </c>
      <c r="C24" t="s">
        <v>32</v>
      </c>
      <c r="D24">
        <v>396</v>
      </c>
      <c r="E24" t="s">
        <v>47</v>
      </c>
      <c r="F24" t="s">
        <v>49</v>
      </c>
    </row>
    <row r="25" spans="1:6" x14ac:dyDescent="0.35">
      <c r="A25" s="2">
        <v>45306</v>
      </c>
      <c r="B25" t="s">
        <v>7</v>
      </c>
      <c r="C25" t="s">
        <v>20</v>
      </c>
      <c r="D25">
        <v>235</v>
      </c>
      <c r="E25" t="s">
        <v>47</v>
      </c>
      <c r="F25" t="s">
        <v>52</v>
      </c>
    </row>
    <row r="26" spans="1:6" x14ac:dyDescent="0.35">
      <c r="A26" s="2">
        <v>45307</v>
      </c>
      <c r="B26" t="s">
        <v>10</v>
      </c>
      <c r="C26" t="s">
        <v>33</v>
      </c>
      <c r="D26">
        <v>272</v>
      </c>
      <c r="E26" t="s">
        <v>47</v>
      </c>
      <c r="F26" t="s">
        <v>52</v>
      </c>
    </row>
    <row r="27" spans="1:6" x14ac:dyDescent="0.35">
      <c r="A27" s="2">
        <v>45308</v>
      </c>
      <c r="B27" t="s">
        <v>12</v>
      </c>
      <c r="C27" t="s">
        <v>25</v>
      </c>
      <c r="D27">
        <v>220</v>
      </c>
      <c r="E27" t="s">
        <v>47</v>
      </c>
      <c r="F27" t="s">
        <v>51</v>
      </c>
    </row>
    <row r="28" spans="1:6" x14ac:dyDescent="0.35">
      <c r="A28" s="2">
        <v>45309</v>
      </c>
      <c r="B28" t="s">
        <v>8</v>
      </c>
      <c r="C28" t="s">
        <v>34</v>
      </c>
      <c r="D28">
        <v>39</v>
      </c>
      <c r="E28" t="s">
        <v>47</v>
      </c>
      <c r="F28" t="s">
        <v>51</v>
      </c>
    </row>
    <row r="29" spans="1:6" x14ac:dyDescent="0.35">
      <c r="A29" s="2">
        <v>45309</v>
      </c>
      <c r="B29" t="s">
        <v>11</v>
      </c>
      <c r="C29" t="s">
        <v>32</v>
      </c>
      <c r="D29">
        <v>435</v>
      </c>
      <c r="E29" t="s">
        <v>47</v>
      </c>
      <c r="F29" t="s">
        <v>52</v>
      </c>
    </row>
    <row r="30" spans="1:6" x14ac:dyDescent="0.35">
      <c r="A30" s="2">
        <v>45310</v>
      </c>
      <c r="B30" t="s">
        <v>9</v>
      </c>
      <c r="C30" t="s">
        <v>26</v>
      </c>
      <c r="D30">
        <v>259</v>
      </c>
      <c r="E30" t="s">
        <v>47</v>
      </c>
      <c r="F30" t="s">
        <v>52</v>
      </c>
    </row>
    <row r="31" spans="1:6" x14ac:dyDescent="0.35">
      <c r="A31" s="2">
        <v>45311</v>
      </c>
      <c r="B31" t="s">
        <v>9</v>
      </c>
      <c r="C31" t="s">
        <v>22</v>
      </c>
      <c r="D31">
        <v>384</v>
      </c>
      <c r="E31" t="s">
        <v>47</v>
      </c>
      <c r="F31" t="s">
        <v>51</v>
      </c>
    </row>
    <row r="32" spans="1:6" x14ac:dyDescent="0.35">
      <c r="A32" s="2">
        <v>45312</v>
      </c>
      <c r="B32" t="s">
        <v>12</v>
      </c>
      <c r="C32" t="s">
        <v>35</v>
      </c>
      <c r="D32">
        <v>56</v>
      </c>
      <c r="E32" t="s">
        <v>47</v>
      </c>
      <c r="F32" t="s">
        <v>51</v>
      </c>
    </row>
    <row r="33" spans="1:6" x14ac:dyDescent="0.35">
      <c r="A33" s="2">
        <v>45312</v>
      </c>
      <c r="B33" t="s">
        <v>14</v>
      </c>
      <c r="C33" t="s">
        <v>29</v>
      </c>
      <c r="D33">
        <v>489</v>
      </c>
      <c r="E33" t="s">
        <v>47</v>
      </c>
      <c r="F33" t="s">
        <v>49</v>
      </c>
    </row>
    <row r="34" spans="1:6" x14ac:dyDescent="0.35">
      <c r="A34" s="2">
        <v>45313</v>
      </c>
      <c r="B34" t="s">
        <v>14</v>
      </c>
      <c r="C34" t="s">
        <v>36</v>
      </c>
      <c r="D34">
        <v>164</v>
      </c>
      <c r="E34" t="s">
        <v>47</v>
      </c>
      <c r="F34" t="s">
        <v>49</v>
      </c>
    </row>
    <row r="35" spans="1:6" x14ac:dyDescent="0.35">
      <c r="A35" s="2">
        <v>45314</v>
      </c>
      <c r="B35" t="s">
        <v>13</v>
      </c>
      <c r="C35" t="s">
        <v>27</v>
      </c>
      <c r="D35">
        <v>174</v>
      </c>
      <c r="E35" t="s">
        <v>47</v>
      </c>
      <c r="F35" t="s">
        <v>51</v>
      </c>
    </row>
    <row r="36" spans="1:6" x14ac:dyDescent="0.35">
      <c r="A36" s="2">
        <v>45314</v>
      </c>
      <c r="B36" t="s">
        <v>10</v>
      </c>
      <c r="C36" t="s">
        <v>23</v>
      </c>
      <c r="D36">
        <v>138</v>
      </c>
      <c r="E36" t="s">
        <v>47</v>
      </c>
      <c r="F36" t="s">
        <v>50</v>
      </c>
    </row>
    <row r="37" spans="1:6" x14ac:dyDescent="0.35">
      <c r="A37" s="2">
        <v>45315</v>
      </c>
      <c r="B37" t="s">
        <v>14</v>
      </c>
      <c r="C37" t="s">
        <v>29</v>
      </c>
      <c r="D37">
        <v>450</v>
      </c>
      <c r="E37" t="s">
        <v>47</v>
      </c>
      <c r="F37" t="s">
        <v>49</v>
      </c>
    </row>
    <row r="38" spans="1:6" x14ac:dyDescent="0.35">
      <c r="A38" s="2">
        <v>45315</v>
      </c>
      <c r="B38" t="s">
        <v>9</v>
      </c>
      <c r="C38" t="s">
        <v>26</v>
      </c>
      <c r="D38">
        <v>352</v>
      </c>
      <c r="E38" t="s">
        <v>47</v>
      </c>
      <c r="F38" t="s">
        <v>51</v>
      </c>
    </row>
    <row r="39" spans="1:6" x14ac:dyDescent="0.35">
      <c r="A39" s="2">
        <v>45316</v>
      </c>
      <c r="B39" t="s">
        <v>17</v>
      </c>
      <c r="C39" t="s">
        <v>37</v>
      </c>
      <c r="D39">
        <v>287</v>
      </c>
      <c r="E39" t="s">
        <v>47</v>
      </c>
      <c r="F39" t="s">
        <v>52</v>
      </c>
    </row>
    <row r="40" spans="1:6" x14ac:dyDescent="0.35">
      <c r="A40" s="2">
        <v>45317</v>
      </c>
      <c r="B40" t="s">
        <v>15</v>
      </c>
      <c r="C40" t="s">
        <v>38</v>
      </c>
      <c r="D40">
        <v>1782</v>
      </c>
      <c r="E40" t="s">
        <v>48</v>
      </c>
      <c r="F40" t="s">
        <v>49</v>
      </c>
    </row>
    <row r="41" spans="1:6" x14ac:dyDescent="0.35">
      <c r="A41" s="2">
        <v>45317</v>
      </c>
      <c r="B41" t="s">
        <v>6</v>
      </c>
      <c r="C41" t="s">
        <v>19</v>
      </c>
      <c r="D41">
        <v>141</v>
      </c>
      <c r="E41" t="s">
        <v>47</v>
      </c>
      <c r="F41" t="s">
        <v>52</v>
      </c>
    </row>
    <row r="42" spans="1:6" x14ac:dyDescent="0.35">
      <c r="A42" s="2">
        <v>45317</v>
      </c>
      <c r="B42" t="s">
        <v>7</v>
      </c>
      <c r="C42" t="s">
        <v>39</v>
      </c>
      <c r="D42">
        <v>311</v>
      </c>
      <c r="E42" t="s">
        <v>47</v>
      </c>
      <c r="F42" t="s">
        <v>52</v>
      </c>
    </row>
    <row r="43" spans="1:6" x14ac:dyDescent="0.35">
      <c r="A43" s="2">
        <v>45318</v>
      </c>
      <c r="B43" t="s">
        <v>8</v>
      </c>
      <c r="C43" t="s">
        <v>21</v>
      </c>
      <c r="D43">
        <v>100</v>
      </c>
      <c r="E43" t="s">
        <v>47</v>
      </c>
      <c r="F43" t="s">
        <v>50</v>
      </c>
    </row>
    <row r="44" spans="1:6" x14ac:dyDescent="0.35">
      <c r="A44" s="2">
        <v>45319</v>
      </c>
      <c r="B44" t="s">
        <v>17</v>
      </c>
      <c r="C44" t="s">
        <v>40</v>
      </c>
      <c r="D44">
        <v>56</v>
      </c>
      <c r="E44" t="s">
        <v>47</v>
      </c>
      <c r="F44" t="s">
        <v>50</v>
      </c>
    </row>
    <row r="45" spans="1:6" x14ac:dyDescent="0.35">
      <c r="A45" s="2">
        <v>45320</v>
      </c>
      <c r="B45" t="s">
        <v>11</v>
      </c>
      <c r="C45" t="s">
        <v>32</v>
      </c>
      <c r="D45">
        <v>105</v>
      </c>
      <c r="E45" t="s">
        <v>47</v>
      </c>
      <c r="F45" t="s">
        <v>51</v>
      </c>
    </row>
    <row r="46" spans="1:6" x14ac:dyDescent="0.35">
      <c r="A46" s="2">
        <v>45320</v>
      </c>
      <c r="B46" t="s">
        <v>6</v>
      </c>
      <c r="C46" t="s">
        <v>19</v>
      </c>
      <c r="D46">
        <v>191</v>
      </c>
      <c r="E46" t="s">
        <v>47</v>
      </c>
      <c r="F46" t="s">
        <v>51</v>
      </c>
    </row>
    <row r="47" spans="1:6" x14ac:dyDescent="0.35">
      <c r="A47" s="2">
        <v>45321</v>
      </c>
      <c r="B47" t="s">
        <v>8</v>
      </c>
      <c r="C47" t="s">
        <v>34</v>
      </c>
      <c r="D47">
        <v>489</v>
      </c>
      <c r="E47" t="s">
        <v>47</v>
      </c>
      <c r="F47" t="s">
        <v>50</v>
      </c>
    </row>
    <row r="48" spans="1:6" x14ac:dyDescent="0.35">
      <c r="A48" s="2">
        <v>45321</v>
      </c>
      <c r="B48" t="s">
        <v>17</v>
      </c>
      <c r="C48" t="s">
        <v>37</v>
      </c>
      <c r="D48">
        <v>407</v>
      </c>
      <c r="E48" t="s">
        <v>47</v>
      </c>
      <c r="F48" t="s">
        <v>52</v>
      </c>
    </row>
    <row r="49" spans="1:6" x14ac:dyDescent="0.35">
      <c r="A49" s="2">
        <v>45322</v>
      </c>
      <c r="B49" t="s">
        <v>9</v>
      </c>
      <c r="C49" t="s">
        <v>22</v>
      </c>
      <c r="D49">
        <v>202</v>
      </c>
      <c r="E49" t="s">
        <v>47</v>
      </c>
      <c r="F49" t="s">
        <v>50</v>
      </c>
    </row>
    <row r="50" spans="1:6" x14ac:dyDescent="0.35">
      <c r="A50" s="2">
        <v>45322</v>
      </c>
      <c r="B50" t="s">
        <v>12</v>
      </c>
      <c r="C50" t="s">
        <v>25</v>
      </c>
      <c r="D50">
        <v>443</v>
      </c>
      <c r="E50" t="s">
        <v>47</v>
      </c>
      <c r="F50" t="s">
        <v>49</v>
      </c>
    </row>
    <row r="51" spans="1:6" x14ac:dyDescent="0.35">
      <c r="A51" s="2">
        <v>45323</v>
      </c>
      <c r="B51" t="s">
        <v>8</v>
      </c>
      <c r="C51" t="s">
        <v>21</v>
      </c>
      <c r="D51">
        <v>329</v>
      </c>
      <c r="E51" t="s">
        <v>47</v>
      </c>
      <c r="F51" t="s">
        <v>50</v>
      </c>
    </row>
    <row r="52" spans="1:6" x14ac:dyDescent="0.35">
      <c r="A52" s="2">
        <v>45324</v>
      </c>
      <c r="B52" t="s">
        <v>17</v>
      </c>
      <c r="C52" t="s">
        <v>37</v>
      </c>
      <c r="D52">
        <v>128</v>
      </c>
      <c r="E52" t="s">
        <v>47</v>
      </c>
      <c r="F52" t="s">
        <v>49</v>
      </c>
    </row>
    <row r="53" spans="1:6" x14ac:dyDescent="0.35">
      <c r="A53" s="2">
        <v>45324</v>
      </c>
      <c r="B53" t="s">
        <v>8</v>
      </c>
      <c r="C53" t="s">
        <v>21</v>
      </c>
      <c r="D53">
        <v>353</v>
      </c>
      <c r="E53" t="s">
        <v>47</v>
      </c>
      <c r="F53" t="s">
        <v>49</v>
      </c>
    </row>
    <row r="54" spans="1:6" x14ac:dyDescent="0.35">
      <c r="A54" s="2">
        <v>45325</v>
      </c>
      <c r="B54" t="s">
        <v>14</v>
      </c>
      <c r="C54" t="s">
        <v>41</v>
      </c>
      <c r="D54">
        <v>350</v>
      </c>
      <c r="E54" t="s">
        <v>47</v>
      </c>
      <c r="F54" t="s">
        <v>49</v>
      </c>
    </row>
    <row r="55" spans="1:6" x14ac:dyDescent="0.35">
      <c r="A55" s="2">
        <v>45326</v>
      </c>
      <c r="B55" t="s">
        <v>12</v>
      </c>
      <c r="C55" t="s">
        <v>25</v>
      </c>
      <c r="D55">
        <v>493</v>
      </c>
      <c r="E55" t="s">
        <v>47</v>
      </c>
      <c r="F55" t="s">
        <v>51</v>
      </c>
    </row>
    <row r="56" spans="1:6" x14ac:dyDescent="0.35">
      <c r="A56" s="2">
        <v>45326</v>
      </c>
      <c r="B56" t="s">
        <v>6</v>
      </c>
      <c r="C56" t="s">
        <v>28</v>
      </c>
      <c r="D56">
        <v>43</v>
      </c>
      <c r="E56" t="s">
        <v>47</v>
      </c>
      <c r="F56" t="s">
        <v>52</v>
      </c>
    </row>
    <row r="57" spans="1:6" x14ac:dyDescent="0.35">
      <c r="A57" s="2">
        <v>45327</v>
      </c>
      <c r="B57" t="s">
        <v>10</v>
      </c>
      <c r="C57" t="s">
        <v>23</v>
      </c>
      <c r="D57">
        <v>438</v>
      </c>
      <c r="E57" t="s">
        <v>47</v>
      </c>
      <c r="F57" t="s">
        <v>49</v>
      </c>
    </row>
    <row r="58" spans="1:6" x14ac:dyDescent="0.35">
      <c r="A58" s="2">
        <v>45328</v>
      </c>
      <c r="B58" t="s">
        <v>11</v>
      </c>
      <c r="C58" t="s">
        <v>24</v>
      </c>
      <c r="D58">
        <v>256</v>
      </c>
      <c r="E58" t="s">
        <v>47</v>
      </c>
      <c r="F58" t="s">
        <v>50</v>
      </c>
    </row>
    <row r="59" spans="1:6" x14ac:dyDescent="0.35">
      <c r="A59" s="2">
        <v>45328</v>
      </c>
      <c r="B59" t="s">
        <v>9</v>
      </c>
      <c r="C59" t="s">
        <v>22</v>
      </c>
      <c r="D59">
        <v>64</v>
      </c>
      <c r="E59" t="s">
        <v>47</v>
      </c>
      <c r="F59" t="s">
        <v>51</v>
      </c>
    </row>
    <row r="60" spans="1:6" x14ac:dyDescent="0.35">
      <c r="A60" s="2">
        <v>45329</v>
      </c>
      <c r="B60" t="s">
        <v>7</v>
      </c>
      <c r="C60" t="s">
        <v>39</v>
      </c>
      <c r="D60">
        <v>164</v>
      </c>
      <c r="E60" t="s">
        <v>47</v>
      </c>
      <c r="F60" t="s">
        <v>49</v>
      </c>
    </row>
    <row r="61" spans="1:6" x14ac:dyDescent="0.35">
      <c r="A61" s="2">
        <v>45329</v>
      </c>
      <c r="B61" t="s">
        <v>12</v>
      </c>
      <c r="C61" t="s">
        <v>35</v>
      </c>
      <c r="D61">
        <v>237</v>
      </c>
      <c r="E61" t="s">
        <v>47</v>
      </c>
      <c r="F61" t="s">
        <v>49</v>
      </c>
    </row>
    <row r="62" spans="1:6" x14ac:dyDescent="0.35">
      <c r="A62" s="2">
        <v>45330</v>
      </c>
      <c r="B62" t="s">
        <v>11</v>
      </c>
      <c r="C62" t="s">
        <v>42</v>
      </c>
      <c r="D62">
        <v>124</v>
      </c>
      <c r="E62" t="s">
        <v>47</v>
      </c>
      <c r="F62" t="s">
        <v>51</v>
      </c>
    </row>
    <row r="63" spans="1:6" x14ac:dyDescent="0.35">
      <c r="A63" s="2">
        <v>45330</v>
      </c>
      <c r="B63" t="s">
        <v>6</v>
      </c>
      <c r="C63" t="s">
        <v>28</v>
      </c>
      <c r="D63">
        <v>79</v>
      </c>
      <c r="E63" t="s">
        <v>47</v>
      </c>
      <c r="F63" t="s">
        <v>51</v>
      </c>
    </row>
    <row r="64" spans="1:6" x14ac:dyDescent="0.35">
      <c r="A64" s="2">
        <v>45331</v>
      </c>
      <c r="B64" t="s">
        <v>6</v>
      </c>
      <c r="C64" t="s">
        <v>28</v>
      </c>
      <c r="D64">
        <v>258</v>
      </c>
      <c r="E64" t="s">
        <v>47</v>
      </c>
      <c r="F64" t="s">
        <v>49</v>
      </c>
    </row>
    <row r="65" spans="1:6" x14ac:dyDescent="0.35">
      <c r="A65" s="2">
        <v>45331</v>
      </c>
      <c r="B65" t="s">
        <v>10</v>
      </c>
      <c r="C65" t="s">
        <v>23</v>
      </c>
      <c r="D65">
        <v>157</v>
      </c>
      <c r="E65" t="s">
        <v>47</v>
      </c>
      <c r="F65" t="s">
        <v>51</v>
      </c>
    </row>
    <row r="66" spans="1:6" x14ac:dyDescent="0.35">
      <c r="A66" s="2">
        <v>45332</v>
      </c>
      <c r="B66" t="s">
        <v>13</v>
      </c>
      <c r="C66" t="s">
        <v>27</v>
      </c>
      <c r="D66">
        <v>198</v>
      </c>
      <c r="E66" t="s">
        <v>47</v>
      </c>
      <c r="F66" t="s">
        <v>52</v>
      </c>
    </row>
    <row r="67" spans="1:6" x14ac:dyDescent="0.35">
      <c r="A67" s="2">
        <v>45332</v>
      </c>
      <c r="B67" t="s">
        <v>11</v>
      </c>
      <c r="C67" t="s">
        <v>32</v>
      </c>
      <c r="D67">
        <v>173</v>
      </c>
      <c r="E67" t="s">
        <v>47</v>
      </c>
      <c r="F67" t="s">
        <v>50</v>
      </c>
    </row>
    <row r="68" spans="1:6" x14ac:dyDescent="0.35">
      <c r="A68" s="2">
        <v>45333</v>
      </c>
      <c r="B68" t="s">
        <v>7</v>
      </c>
      <c r="C68" t="s">
        <v>43</v>
      </c>
      <c r="D68">
        <v>199</v>
      </c>
      <c r="E68" t="s">
        <v>47</v>
      </c>
      <c r="F68" t="s">
        <v>51</v>
      </c>
    </row>
    <row r="69" spans="1:6" x14ac:dyDescent="0.35">
      <c r="A69" s="2">
        <v>45334</v>
      </c>
      <c r="B69" t="s">
        <v>11</v>
      </c>
      <c r="C69" t="s">
        <v>42</v>
      </c>
      <c r="D69">
        <v>379</v>
      </c>
      <c r="E69" t="s">
        <v>47</v>
      </c>
      <c r="F69" t="s">
        <v>52</v>
      </c>
    </row>
    <row r="70" spans="1:6" x14ac:dyDescent="0.35">
      <c r="A70" s="2">
        <v>45334</v>
      </c>
      <c r="B70" t="s">
        <v>8</v>
      </c>
      <c r="C70" t="s">
        <v>21</v>
      </c>
      <c r="D70">
        <v>369</v>
      </c>
      <c r="E70" t="s">
        <v>47</v>
      </c>
      <c r="F70" t="s">
        <v>49</v>
      </c>
    </row>
    <row r="71" spans="1:6" x14ac:dyDescent="0.35">
      <c r="A71" s="2">
        <v>45335</v>
      </c>
      <c r="B71" t="s">
        <v>13</v>
      </c>
      <c r="C71" t="s">
        <v>27</v>
      </c>
      <c r="D71">
        <v>281</v>
      </c>
      <c r="E71" t="s">
        <v>47</v>
      </c>
      <c r="F71" t="s">
        <v>52</v>
      </c>
    </row>
    <row r="72" spans="1:6" x14ac:dyDescent="0.35">
      <c r="A72" s="2">
        <v>45336</v>
      </c>
      <c r="B72" t="s">
        <v>17</v>
      </c>
      <c r="C72" t="s">
        <v>37</v>
      </c>
      <c r="D72">
        <v>321</v>
      </c>
      <c r="E72" t="s">
        <v>47</v>
      </c>
      <c r="F72" t="s">
        <v>50</v>
      </c>
    </row>
    <row r="73" spans="1:6" x14ac:dyDescent="0.35">
      <c r="A73" s="2">
        <v>45337</v>
      </c>
      <c r="B73" t="s">
        <v>17</v>
      </c>
      <c r="C73" t="s">
        <v>40</v>
      </c>
      <c r="D73">
        <v>21</v>
      </c>
      <c r="E73" t="s">
        <v>47</v>
      </c>
      <c r="F73" t="s">
        <v>50</v>
      </c>
    </row>
    <row r="74" spans="1:6" x14ac:dyDescent="0.35">
      <c r="A74" s="2">
        <v>45338</v>
      </c>
      <c r="B74" t="s">
        <v>7</v>
      </c>
      <c r="C74" t="s">
        <v>20</v>
      </c>
      <c r="D74">
        <v>103</v>
      </c>
      <c r="E74" t="s">
        <v>47</v>
      </c>
      <c r="F74" t="s">
        <v>50</v>
      </c>
    </row>
    <row r="75" spans="1:6" x14ac:dyDescent="0.35">
      <c r="A75" s="2">
        <v>45339</v>
      </c>
      <c r="B75" t="s">
        <v>15</v>
      </c>
      <c r="C75" t="s">
        <v>38</v>
      </c>
      <c r="D75">
        <v>801</v>
      </c>
      <c r="E75" t="s">
        <v>48</v>
      </c>
      <c r="F75" t="s">
        <v>51</v>
      </c>
    </row>
    <row r="76" spans="1:6" x14ac:dyDescent="0.35">
      <c r="A76" s="2">
        <v>45339</v>
      </c>
      <c r="B76" t="s">
        <v>11</v>
      </c>
      <c r="C76" t="s">
        <v>32</v>
      </c>
      <c r="D76">
        <v>120</v>
      </c>
      <c r="E76" t="s">
        <v>47</v>
      </c>
      <c r="F76" t="s">
        <v>49</v>
      </c>
    </row>
    <row r="77" spans="1:6" x14ac:dyDescent="0.35">
      <c r="A77" s="2">
        <v>45340</v>
      </c>
      <c r="B77" t="s">
        <v>12</v>
      </c>
      <c r="C77" t="s">
        <v>35</v>
      </c>
      <c r="D77">
        <v>260</v>
      </c>
      <c r="E77" t="s">
        <v>47</v>
      </c>
      <c r="F77" t="s">
        <v>49</v>
      </c>
    </row>
    <row r="78" spans="1:6" x14ac:dyDescent="0.35">
      <c r="A78" s="2">
        <v>45340</v>
      </c>
      <c r="B78" t="s">
        <v>13</v>
      </c>
      <c r="C78" t="s">
        <v>27</v>
      </c>
      <c r="D78">
        <v>285</v>
      </c>
      <c r="E78" t="s">
        <v>47</v>
      </c>
      <c r="F78" t="s">
        <v>52</v>
      </c>
    </row>
    <row r="79" spans="1:6" x14ac:dyDescent="0.35">
      <c r="A79" s="2">
        <v>45341</v>
      </c>
      <c r="B79" t="s">
        <v>11</v>
      </c>
      <c r="C79" t="s">
        <v>42</v>
      </c>
      <c r="D79">
        <v>284</v>
      </c>
      <c r="E79" t="s">
        <v>47</v>
      </c>
      <c r="F79" t="s">
        <v>52</v>
      </c>
    </row>
    <row r="80" spans="1:6" x14ac:dyDescent="0.35">
      <c r="A80" s="2">
        <v>45341</v>
      </c>
      <c r="B80" t="s">
        <v>8</v>
      </c>
      <c r="C80" t="s">
        <v>34</v>
      </c>
      <c r="D80">
        <v>454</v>
      </c>
      <c r="E80" t="s">
        <v>47</v>
      </c>
      <c r="F80" t="s">
        <v>49</v>
      </c>
    </row>
    <row r="81" spans="1:6" x14ac:dyDescent="0.35">
      <c r="A81" s="2">
        <v>45342</v>
      </c>
      <c r="B81" t="s">
        <v>9</v>
      </c>
      <c r="C81" t="s">
        <v>26</v>
      </c>
      <c r="D81">
        <v>108</v>
      </c>
      <c r="E81" t="s">
        <v>47</v>
      </c>
      <c r="F81" t="s">
        <v>51</v>
      </c>
    </row>
    <row r="82" spans="1:6" x14ac:dyDescent="0.35">
      <c r="A82" s="2">
        <v>45342</v>
      </c>
      <c r="B82" t="s">
        <v>10</v>
      </c>
      <c r="C82" t="s">
        <v>23</v>
      </c>
      <c r="D82">
        <v>250</v>
      </c>
      <c r="E82" t="s">
        <v>47</v>
      </c>
      <c r="F82" t="s">
        <v>50</v>
      </c>
    </row>
    <row r="83" spans="1:6" x14ac:dyDescent="0.35">
      <c r="A83" s="2">
        <v>45343</v>
      </c>
      <c r="B83" t="s">
        <v>12</v>
      </c>
      <c r="C83" t="s">
        <v>25</v>
      </c>
      <c r="D83">
        <v>359</v>
      </c>
      <c r="E83" t="s">
        <v>47</v>
      </c>
      <c r="F83" t="s">
        <v>52</v>
      </c>
    </row>
    <row r="84" spans="1:6" x14ac:dyDescent="0.35">
      <c r="A84" s="2">
        <v>45343</v>
      </c>
      <c r="B84" t="s">
        <v>10</v>
      </c>
      <c r="C84" t="s">
        <v>33</v>
      </c>
      <c r="D84">
        <v>17</v>
      </c>
      <c r="E84" t="s">
        <v>47</v>
      </c>
      <c r="F84" t="s">
        <v>50</v>
      </c>
    </row>
    <row r="85" spans="1:6" x14ac:dyDescent="0.35">
      <c r="A85" s="2">
        <v>45344</v>
      </c>
      <c r="B85" t="s">
        <v>14</v>
      </c>
      <c r="C85" t="s">
        <v>36</v>
      </c>
      <c r="D85">
        <v>24</v>
      </c>
      <c r="E85" t="s">
        <v>47</v>
      </c>
      <c r="F85" t="s">
        <v>51</v>
      </c>
    </row>
    <row r="86" spans="1:6" x14ac:dyDescent="0.35">
      <c r="A86" s="2">
        <v>45345</v>
      </c>
      <c r="B86" t="s">
        <v>18</v>
      </c>
      <c r="C86" t="s">
        <v>44</v>
      </c>
      <c r="D86">
        <v>3201</v>
      </c>
      <c r="E86" t="s">
        <v>48</v>
      </c>
      <c r="F86" t="s">
        <v>50</v>
      </c>
    </row>
    <row r="87" spans="1:6" x14ac:dyDescent="0.35">
      <c r="A87" s="2">
        <v>45345</v>
      </c>
      <c r="B87" t="s">
        <v>12</v>
      </c>
      <c r="C87" t="s">
        <v>35</v>
      </c>
      <c r="D87">
        <v>96</v>
      </c>
      <c r="E87" t="s">
        <v>47</v>
      </c>
      <c r="F87" t="s">
        <v>52</v>
      </c>
    </row>
    <row r="88" spans="1:6" x14ac:dyDescent="0.35">
      <c r="A88" s="2">
        <v>45346</v>
      </c>
      <c r="B88" t="s">
        <v>8</v>
      </c>
      <c r="C88" t="s">
        <v>34</v>
      </c>
      <c r="D88">
        <v>157</v>
      </c>
      <c r="E88" t="s">
        <v>47</v>
      </c>
      <c r="F88" t="s">
        <v>52</v>
      </c>
    </row>
    <row r="89" spans="1:6" x14ac:dyDescent="0.35">
      <c r="A89" s="2">
        <v>45347</v>
      </c>
      <c r="B89" t="s">
        <v>8</v>
      </c>
      <c r="C89" t="s">
        <v>21</v>
      </c>
      <c r="D89">
        <v>62</v>
      </c>
      <c r="E89" t="s">
        <v>47</v>
      </c>
      <c r="F89" t="s">
        <v>52</v>
      </c>
    </row>
    <row r="90" spans="1:6" x14ac:dyDescent="0.35">
      <c r="A90" s="2">
        <v>45348</v>
      </c>
      <c r="B90" t="s">
        <v>8</v>
      </c>
      <c r="C90" t="s">
        <v>34</v>
      </c>
      <c r="D90">
        <v>58</v>
      </c>
      <c r="E90" t="s">
        <v>47</v>
      </c>
      <c r="F90" t="s">
        <v>49</v>
      </c>
    </row>
    <row r="91" spans="1:6" x14ac:dyDescent="0.35">
      <c r="A91" s="2">
        <v>45348</v>
      </c>
      <c r="B91" t="s">
        <v>7</v>
      </c>
      <c r="C91" t="s">
        <v>39</v>
      </c>
      <c r="D91">
        <v>268</v>
      </c>
      <c r="E91" t="s">
        <v>47</v>
      </c>
      <c r="F91" t="s">
        <v>51</v>
      </c>
    </row>
    <row r="92" spans="1:6" x14ac:dyDescent="0.35">
      <c r="A92" s="2">
        <v>45349</v>
      </c>
      <c r="B92" t="s">
        <v>7</v>
      </c>
      <c r="C92" t="s">
        <v>43</v>
      </c>
      <c r="D92">
        <v>200</v>
      </c>
      <c r="E92" t="s">
        <v>47</v>
      </c>
      <c r="F92" t="s">
        <v>52</v>
      </c>
    </row>
    <row r="93" spans="1:6" x14ac:dyDescent="0.35">
      <c r="A93" s="2">
        <v>45349</v>
      </c>
      <c r="B93" t="s">
        <v>14</v>
      </c>
      <c r="C93" t="s">
        <v>29</v>
      </c>
      <c r="D93">
        <v>51</v>
      </c>
      <c r="E93" t="s">
        <v>47</v>
      </c>
      <c r="F93" t="s">
        <v>49</v>
      </c>
    </row>
    <row r="94" spans="1:6" x14ac:dyDescent="0.35">
      <c r="A94" s="2">
        <v>45350</v>
      </c>
      <c r="B94" t="s">
        <v>13</v>
      </c>
      <c r="C94" t="s">
        <v>27</v>
      </c>
      <c r="D94">
        <v>128</v>
      </c>
      <c r="E94" t="s">
        <v>47</v>
      </c>
      <c r="F94" t="s">
        <v>52</v>
      </c>
    </row>
    <row r="95" spans="1:6" x14ac:dyDescent="0.35">
      <c r="A95" s="2">
        <v>45350</v>
      </c>
      <c r="B95" t="s">
        <v>11</v>
      </c>
      <c r="C95" t="s">
        <v>32</v>
      </c>
      <c r="D95">
        <v>124</v>
      </c>
      <c r="E95" t="s">
        <v>47</v>
      </c>
      <c r="F95" t="s">
        <v>49</v>
      </c>
    </row>
    <row r="96" spans="1:6" x14ac:dyDescent="0.35">
      <c r="A96" s="2">
        <v>45351</v>
      </c>
      <c r="B96" t="s">
        <v>12</v>
      </c>
      <c r="C96" t="s">
        <v>25</v>
      </c>
      <c r="D96">
        <v>233</v>
      </c>
      <c r="E96" t="s">
        <v>47</v>
      </c>
      <c r="F96" t="s">
        <v>52</v>
      </c>
    </row>
    <row r="97" spans="1:6" x14ac:dyDescent="0.35">
      <c r="A97" s="2">
        <v>45351</v>
      </c>
      <c r="B97" t="s">
        <v>7</v>
      </c>
      <c r="C97" t="s">
        <v>20</v>
      </c>
      <c r="D97">
        <v>283</v>
      </c>
      <c r="E97" t="s">
        <v>47</v>
      </c>
      <c r="F97" t="s">
        <v>49</v>
      </c>
    </row>
    <row r="98" spans="1:6" x14ac:dyDescent="0.35">
      <c r="A98" s="2">
        <v>45352</v>
      </c>
      <c r="B98" t="s">
        <v>17</v>
      </c>
      <c r="C98" t="s">
        <v>40</v>
      </c>
      <c r="D98">
        <v>126</v>
      </c>
      <c r="E98" t="s">
        <v>47</v>
      </c>
      <c r="F98" t="s">
        <v>51</v>
      </c>
    </row>
    <row r="99" spans="1:6" x14ac:dyDescent="0.35">
      <c r="A99" s="2">
        <v>45353</v>
      </c>
      <c r="B99" t="s">
        <v>8</v>
      </c>
      <c r="C99" t="s">
        <v>21</v>
      </c>
      <c r="D99">
        <v>93</v>
      </c>
      <c r="E99" t="s">
        <v>47</v>
      </c>
      <c r="F99" t="s">
        <v>50</v>
      </c>
    </row>
    <row r="100" spans="1:6" x14ac:dyDescent="0.35">
      <c r="A100" s="2">
        <v>45353</v>
      </c>
      <c r="B100" t="s">
        <v>7</v>
      </c>
      <c r="C100" t="s">
        <v>39</v>
      </c>
      <c r="D100">
        <v>276</v>
      </c>
      <c r="E100" t="s">
        <v>47</v>
      </c>
      <c r="F100" t="s">
        <v>51</v>
      </c>
    </row>
    <row r="101" spans="1:6" x14ac:dyDescent="0.35">
      <c r="A101" s="2">
        <v>45354</v>
      </c>
      <c r="B101" t="s">
        <v>7</v>
      </c>
      <c r="C101" t="s">
        <v>20</v>
      </c>
      <c r="D101">
        <v>353</v>
      </c>
      <c r="E101" t="s">
        <v>47</v>
      </c>
      <c r="F101" t="s">
        <v>49</v>
      </c>
    </row>
    <row r="102" spans="1:6" x14ac:dyDescent="0.35">
      <c r="A102" s="2">
        <v>45355</v>
      </c>
      <c r="B102" t="s">
        <v>18</v>
      </c>
      <c r="C102" t="s">
        <v>44</v>
      </c>
      <c r="D102">
        <v>1496</v>
      </c>
      <c r="E102" t="s">
        <v>48</v>
      </c>
      <c r="F102" t="s">
        <v>52</v>
      </c>
    </row>
    <row r="103" spans="1:6" x14ac:dyDescent="0.35">
      <c r="A103" s="2">
        <v>45355</v>
      </c>
      <c r="B103" t="s">
        <v>7</v>
      </c>
      <c r="C103" t="s">
        <v>43</v>
      </c>
      <c r="D103">
        <v>98</v>
      </c>
      <c r="E103" t="s">
        <v>47</v>
      </c>
      <c r="F103" t="s">
        <v>52</v>
      </c>
    </row>
    <row r="104" spans="1:6" x14ac:dyDescent="0.35">
      <c r="A104" s="2">
        <v>45356</v>
      </c>
      <c r="B104" t="s">
        <v>9</v>
      </c>
      <c r="C104" t="s">
        <v>22</v>
      </c>
      <c r="D104">
        <v>436</v>
      </c>
      <c r="E104" t="s">
        <v>47</v>
      </c>
      <c r="F104" t="s">
        <v>51</v>
      </c>
    </row>
    <row r="105" spans="1:6" x14ac:dyDescent="0.35">
      <c r="A105" s="2">
        <v>45357</v>
      </c>
      <c r="B105" t="s">
        <v>7</v>
      </c>
      <c r="C105" t="s">
        <v>43</v>
      </c>
      <c r="D105">
        <v>254</v>
      </c>
      <c r="E105" t="s">
        <v>47</v>
      </c>
      <c r="F105" t="s">
        <v>52</v>
      </c>
    </row>
    <row r="106" spans="1:6" x14ac:dyDescent="0.35">
      <c r="A106" s="2">
        <v>45358</v>
      </c>
      <c r="B106" t="s">
        <v>13</v>
      </c>
      <c r="C106" t="s">
        <v>27</v>
      </c>
      <c r="D106">
        <v>184</v>
      </c>
      <c r="E106" t="s">
        <v>47</v>
      </c>
      <c r="F106" t="s">
        <v>49</v>
      </c>
    </row>
    <row r="107" spans="1:6" x14ac:dyDescent="0.35">
      <c r="A107" s="2">
        <v>45358</v>
      </c>
      <c r="B107" t="s">
        <v>9</v>
      </c>
      <c r="C107" t="s">
        <v>22</v>
      </c>
      <c r="D107">
        <v>151</v>
      </c>
      <c r="E107" t="s">
        <v>47</v>
      </c>
      <c r="F107" t="s">
        <v>52</v>
      </c>
    </row>
    <row r="108" spans="1:6" x14ac:dyDescent="0.35">
      <c r="A108" s="2">
        <v>45359</v>
      </c>
      <c r="B108" t="s">
        <v>7</v>
      </c>
      <c r="C108" t="s">
        <v>39</v>
      </c>
      <c r="D108">
        <v>8</v>
      </c>
      <c r="E108" t="s">
        <v>47</v>
      </c>
      <c r="F108" t="s">
        <v>50</v>
      </c>
    </row>
    <row r="109" spans="1:6" x14ac:dyDescent="0.35">
      <c r="A109" s="2">
        <v>45359</v>
      </c>
      <c r="B109" t="s">
        <v>6</v>
      </c>
      <c r="C109" t="s">
        <v>28</v>
      </c>
      <c r="D109">
        <v>251</v>
      </c>
      <c r="E109" t="s">
        <v>47</v>
      </c>
      <c r="F109" t="s">
        <v>52</v>
      </c>
    </row>
    <row r="110" spans="1:6" x14ac:dyDescent="0.35">
      <c r="A110" s="2">
        <v>45360</v>
      </c>
      <c r="B110" t="s">
        <v>16</v>
      </c>
      <c r="C110" t="s">
        <v>45</v>
      </c>
      <c r="D110">
        <v>2187</v>
      </c>
      <c r="E110" t="s">
        <v>48</v>
      </c>
      <c r="F110" t="s">
        <v>50</v>
      </c>
    </row>
    <row r="111" spans="1:6" x14ac:dyDescent="0.35">
      <c r="A111" s="2">
        <v>45360</v>
      </c>
      <c r="B111" t="s">
        <v>11</v>
      </c>
      <c r="C111" t="s">
        <v>32</v>
      </c>
      <c r="D111">
        <v>421</v>
      </c>
      <c r="E111" t="s">
        <v>47</v>
      </c>
      <c r="F111" t="s">
        <v>51</v>
      </c>
    </row>
    <row r="112" spans="1:6" x14ac:dyDescent="0.35">
      <c r="A112" s="2">
        <v>45360</v>
      </c>
      <c r="B112" t="s">
        <v>11</v>
      </c>
      <c r="C112" t="s">
        <v>24</v>
      </c>
      <c r="D112">
        <v>105</v>
      </c>
      <c r="E112" t="s">
        <v>47</v>
      </c>
      <c r="F112" t="s">
        <v>50</v>
      </c>
    </row>
    <row r="113" spans="1:6" x14ac:dyDescent="0.35">
      <c r="A113" s="2">
        <v>45361</v>
      </c>
      <c r="B113" t="s">
        <v>6</v>
      </c>
      <c r="C113" t="s">
        <v>28</v>
      </c>
      <c r="D113">
        <v>47</v>
      </c>
      <c r="E113" t="s">
        <v>47</v>
      </c>
      <c r="F113" t="s">
        <v>50</v>
      </c>
    </row>
    <row r="114" spans="1:6" x14ac:dyDescent="0.35">
      <c r="A114" s="2">
        <v>45362</v>
      </c>
      <c r="B114" t="s">
        <v>13</v>
      </c>
      <c r="C114" t="s">
        <v>27</v>
      </c>
      <c r="D114">
        <v>257</v>
      </c>
      <c r="E114" t="s">
        <v>47</v>
      </c>
      <c r="F114" t="s">
        <v>49</v>
      </c>
    </row>
    <row r="115" spans="1:6" x14ac:dyDescent="0.35">
      <c r="A115" s="2">
        <v>45362</v>
      </c>
      <c r="B115" t="s">
        <v>13</v>
      </c>
      <c r="C115" t="s">
        <v>27</v>
      </c>
      <c r="D115">
        <v>39</v>
      </c>
      <c r="E115" t="s">
        <v>47</v>
      </c>
      <c r="F115" t="s">
        <v>49</v>
      </c>
    </row>
    <row r="116" spans="1:6" x14ac:dyDescent="0.35">
      <c r="A116" s="2">
        <v>45363</v>
      </c>
      <c r="B116" t="s">
        <v>15</v>
      </c>
      <c r="C116" t="s">
        <v>30</v>
      </c>
      <c r="D116">
        <v>3517</v>
      </c>
      <c r="E116" t="s">
        <v>48</v>
      </c>
      <c r="F116" t="s">
        <v>52</v>
      </c>
    </row>
    <row r="117" spans="1:6" x14ac:dyDescent="0.35">
      <c r="A117" s="2">
        <v>45363</v>
      </c>
      <c r="B117" t="s">
        <v>13</v>
      </c>
      <c r="C117" t="s">
        <v>27</v>
      </c>
      <c r="D117">
        <v>119</v>
      </c>
      <c r="E117" t="s">
        <v>47</v>
      </c>
      <c r="F117" t="s">
        <v>51</v>
      </c>
    </row>
    <row r="118" spans="1:6" x14ac:dyDescent="0.35">
      <c r="A118" s="2">
        <v>45363</v>
      </c>
      <c r="B118" t="s">
        <v>12</v>
      </c>
      <c r="C118" t="s">
        <v>25</v>
      </c>
      <c r="D118">
        <v>318</v>
      </c>
      <c r="E118" t="s">
        <v>47</v>
      </c>
      <c r="F118" t="s">
        <v>51</v>
      </c>
    </row>
    <row r="119" spans="1:6" x14ac:dyDescent="0.35">
      <c r="A119" s="2">
        <v>45364</v>
      </c>
      <c r="B119" t="s">
        <v>6</v>
      </c>
      <c r="C119" t="s">
        <v>28</v>
      </c>
      <c r="D119">
        <v>221</v>
      </c>
      <c r="E119" t="s">
        <v>47</v>
      </c>
      <c r="F119" t="s">
        <v>51</v>
      </c>
    </row>
    <row r="120" spans="1:6" x14ac:dyDescent="0.35">
      <c r="A120" s="2">
        <v>45365</v>
      </c>
      <c r="B120" t="s">
        <v>9</v>
      </c>
      <c r="C120" t="s">
        <v>26</v>
      </c>
      <c r="D120">
        <v>461</v>
      </c>
      <c r="E120" t="s">
        <v>47</v>
      </c>
      <c r="F120" t="s">
        <v>50</v>
      </c>
    </row>
    <row r="121" spans="1:6" x14ac:dyDescent="0.35">
      <c r="A121" s="2">
        <v>45365</v>
      </c>
      <c r="B121" t="s">
        <v>11</v>
      </c>
      <c r="C121" t="s">
        <v>32</v>
      </c>
      <c r="D121">
        <v>103</v>
      </c>
      <c r="E121" t="s">
        <v>47</v>
      </c>
      <c r="F121" t="s">
        <v>50</v>
      </c>
    </row>
    <row r="122" spans="1:6" x14ac:dyDescent="0.35">
      <c r="A122" s="2">
        <v>45366</v>
      </c>
      <c r="B122" t="s">
        <v>12</v>
      </c>
      <c r="C122" t="s">
        <v>25</v>
      </c>
      <c r="D122">
        <v>156</v>
      </c>
      <c r="E122" t="s">
        <v>47</v>
      </c>
      <c r="F122" t="s">
        <v>49</v>
      </c>
    </row>
    <row r="123" spans="1:6" x14ac:dyDescent="0.35">
      <c r="A123" s="2">
        <v>45367</v>
      </c>
      <c r="B123" t="s">
        <v>17</v>
      </c>
      <c r="C123" t="s">
        <v>37</v>
      </c>
      <c r="D123">
        <v>17</v>
      </c>
      <c r="E123" t="s">
        <v>47</v>
      </c>
      <c r="F123" t="s">
        <v>49</v>
      </c>
    </row>
    <row r="124" spans="1:6" x14ac:dyDescent="0.35">
      <c r="A124" s="2">
        <v>45368</v>
      </c>
      <c r="B124" t="s">
        <v>17</v>
      </c>
      <c r="C124" t="s">
        <v>37</v>
      </c>
      <c r="D124">
        <v>66</v>
      </c>
      <c r="E124" t="s">
        <v>47</v>
      </c>
      <c r="F124" t="s">
        <v>50</v>
      </c>
    </row>
    <row r="125" spans="1:6" x14ac:dyDescent="0.35">
      <c r="A125" s="2">
        <v>45369</v>
      </c>
      <c r="B125" t="s">
        <v>11</v>
      </c>
      <c r="C125" t="s">
        <v>32</v>
      </c>
      <c r="D125">
        <v>104</v>
      </c>
      <c r="E125" t="s">
        <v>47</v>
      </c>
      <c r="F125" t="s">
        <v>50</v>
      </c>
    </row>
    <row r="126" spans="1:6" x14ac:dyDescent="0.35">
      <c r="A126" s="2">
        <v>45369</v>
      </c>
      <c r="B126" t="s">
        <v>10</v>
      </c>
      <c r="C126" t="s">
        <v>23</v>
      </c>
      <c r="D126">
        <v>80</v>
      </c>
      <c r="E126" t="s">
        <v>47</v>
      </c>
      <c r="F126" t="s">
        <v>51</v>
      </c>
    </row>
    <row r="127" spans="1:6" x14ac:dyDescent="0.35">
      <c r="A127" s="2">
        <v>45370</v>
      </c>
      <c r="B127" t="s">
        <v>14</v>
      </c>
      <c r="C127" t="s">
        <v>41</v>
      </c>
      <c r="D127">
        <v>371</v>
      </c>
      <c r="E127" t="s">
        <v>47</v>
      </c>
      <c r="F127" t="s">
        <v>50</v>
      </c>
    </row>
    <row r="128" spans="1:6" x14ac:dyDescent="0.35">
      <c r="A128" s="2">
        <v>45370</v>
      </c>
      <c r="B128" t="s">
        <v>7</v>
      </c>
      <c r="C128" t="s">
        <v>39</v>
      </c>
      <c r="D128">
        <v>103</v>
      </c>
      <c r="E128" t="s">
        <v>47</v>
      </c>
      <c r="F128" t="s">
        <v>50</v>
      </c>
    </row>
    <row r="129" spans="1:6" x14ac:dyDescent="0.35">
      <c r="A129" s="2">
        <v>45371</v>
      </c>
      <c r="B129" t="s">
        <v>7</v>
      </c>
      <c r="C129" t="s">
        <v>39</v>
      </c>
      <c r="D129">
        <v>155</v>
      </c>
      <c r="E129" t="s">
        <v>47</v>
      </c>
      <c r="F129" t="s">
        <v>50</v>
      </c>
    </row>
    <row r="130" spans="1:6" x14ac:dyDescent="0.35">
      <c r="A130" s="2">
        <v>45372</v>
      </c>
      <c r="B130" t="s">
        <v>7</v>
      </c>
      <c r="C130" t="s">
        <v>20</v>
      </c>
      <c r="D130">
        <v>190</v>
      </c>
      <c r="E130" t="s">
        <v>47</v>
      </c>
      <c r="F130" t="s">
        <v>49</v>
      </c>
    </row>
    <row r="131" spans="1:6" x14ac:dyDescent="0.35">
      <c r="A131" s="2">
        <v>45373</v>
      </c>
      <c r="B131" t="s">
        <v>7</v>
      </c>
      <c r="C131" t="s">
        <v>43</v>
      </c>
      <c r="D131">
        <v>219</v>
      </c>
      <c r="E131" t="s">
        <v>47</v>
      </c>
      <c r="F131" t="s">
        <v>51</v>
      </c>
    </row>
    <row r="132" spans="1:6" x14ac:dyDescent="0.35">
      <c r="A132" s="2">
        <v>45373</v>
      </c>
      <c r="B132" t="s">
        <v>13</v>
      </c>
      <c r="C132" t="s">
        <v>27</v>
      </c>
      <c r="D132">
        <v>243</v>
      </c>
      <c r="E132" t="s">
        <v>47</v>
      </c>
      <c r="F132" t="s">
        <v>50</v>
      </c>
    </row>
    <row r="133" spans="1:6" x14ac:dyDescent="0.35">
      <c r="A133" s="2">
        <v>45374</v>
      </c>
      <c r="B133" t="s">
        <v>17</v>
      </c>
      <c r="C133" t="s">
        <v>37</v>
      </c>
      <c r="D133">
        <v>234</v>
      </c>
      <c r="E133" t="s">
        <v>47</v>
      </c>
      <c r="F133" t="s">
        <v>49</v>
      </c>
    </row>
    <row r="134" spans="1:6" x14ac:dyDescent="0.35">
      <c r="A134" s="2">
        <v>45374</v>
      </c>
      <c r="B134" t="s">
        <v>6</v>
      </c>
      <c r="C134" t="s">
        <v>28</v>
      </c>
      <c r="D134">
        <v>397</v>
      </c>
      <c r="E134" t="s">
        <v>47</v>
      </c>
      <c r="F134" t="s">
        <v>52</v>
      </c>
    </row>
    <row r="135" spans="1:6" x14ac:dyDescent="0.35">
      <c r="A135" s="2">
        <v>45375</v>
      </c>
      <c r="B135" t="s">
        <v>7</v>
      </c>
      <c r="C135" t="s">
        <v>39</v>
      </c>
      <c r="D135">
        <v>169</v>
      </c>
      <c r="E135" t="s">
        <v>47</v>
      </c>
      <c r="F135" t="s">
        <v>52</v>
      </c>
    </row>
    <row r="136" spans="1:6" x14ac:dyDescent="0.35">
      <c r="A136" s="2">
        <v>45375</v>
      </c>
      <c r="B136" t="s">
        <v>11</v>
      </c>
      <c r="C136" t="s">
        <v>32</v>
      </c>
      <c r="D136">
        <v>325</v>
      </c>
      <c r="E136" t="s">
        <v>47</v>
      </c>
      <c r="F136" t="s">
        <v>52</v>
      </c>
    </row>
    <row r="137" spans="1:6" x14ac:dyDescent="0.35">
      <c r="A137" s="2">
        <v>45376</v>
      </c>
      <c r="B137" t="s">
        <v>12</v>
      </c>
      <c r="C137" t="s">
        <v>35</v>
      </c>
      <c r="D137">
        <v>305</v>
      </c>
      <c r="E137" t="s">
        <v>47</v>
      </c>
      <c r="F137" t="s">
        <v>50</v>
      </c>
    </row>
    <row r="138" spans="1:6" x14ac:dyDescent="0.35">
      <c r="A138" s="2">
        <v>45377</v>
      </c>
      <c r="B138" t="s">
        <v>11</v>
      </c>
      <c r="C138" t="s">
        <v>32</v>
      </c>
      <c r="D138">
        <v>368</v>
      </c>
      <c r="E138" t="s">
        <v>47</v>
      </c>
      <c r="F138" t="s">
        <v>52</v>
      </c>
    </row>
    <row r="139" spans="1:6" x14ac:dyDescent="0.35">
      <c r="A139" s="2">
        <v>45377</v>
      </c>
      <c r="B139" t="s">
        <v>12</v>
      </c>
      <c r="C139" t="s">
        <v>35</v>
      </c>
      <c r="D139">
        <v>206</v>
      </c>
      <c r="E139" t="s">
        <v>47</v>
      </c>
      <c r="F139" t="s">
        <v>52</v>
      </c>
    </row>
    <row r="140" spans="1:6" x14ac:dyDescent="0.35">
      <c r="A140" s="2">
        <v>45378</v>
      </c>
      <c r="B140" t="s">
        <v>11</v>
      </c>
      <c r="C140" t="s">
        <v>32</v>
      </c>
      <c r="D140">
        <v>145</v>
      </c>
      <c r="E140" t="s">
        <v>47</v>
      </c>
      <c r="F140" t="s">
        <v>52</v>
      </c>
    </row>
    <row r="141" spans="1:6" x14ac:dyDescent="0.35">
      <c r="A141" s="2">
        <v>45378</v>
      </c>
      <c r="B141" t="s">
        <v>9</v>
      </c>
      <c r="C141" t="s">
        <v>22</v>
      </c>
      <c r="D141">
        <v>480</v>
      </c>
      <c r="E141" t="s">
        <v>47</v>
      </c>
      <c r="F141" t="s">
        <v>50</v>
      </c>
    </row>
    <row r="142" spans="1:6" x14ac:dyDescent="0.35">
      <c r="A142" s="2">
        <v>45379</v>
      </c>
      <c r="B142" t="s">
        <v>12</v>
      </c>
      <c r="C142" t="s">
        <v>35</v>
      </c>
      <c r="D142">
        <v>391</v>
      </c>
      <c r="E142" t="s">
        <v>47</v>
      </c>
      <c r="F142" t="s">
        <v>51</v>
      </c>
    </row>
    <row r="143" spans="1:6" x14ac:dyDescent="0.35">
      <c r="A143" s="2">
        <v>45380</v>
      </c>
      <c r="B143" t="s">
        <v>17</v>
      </c>
      <c r="C143" t="s">
        <v>37</v>
      </c>
      <c r="D143">
        <v>316</v>
      </c>
      <c r="E143" t="s">
        <v>47</v>
      </c>
      <c r="F143" t="s">
        <v>51</v>
      </c>
    </row>
    <row r="144" spans="1:6" x14ac:dyDescent="0.35">
      <c r="A144" s="2">
        <v>45381</v>
      </c>
      <c r="B144" t="s">
        <v>9</v>
      </c>
      <c r="C144" t="s">
        <v>22</v>
      </c>
      <c r="D144">
        <v>177</v>
      </c>
      <c r="E144" t="s">
        <v>47</v>
      </c>
      <c r="F144" t="s">
        <v>50</v>
      </c>
    </row>
    <row r="145" spans="1:6" x14ac:dyDescent="0.35">
      <c r="A145" s="2">
        <v>45381</v>
      </c>
      <c r="B145" t="s">
        <v>7</v>
      </c>
      <c r="C145" t="s">
        <v>20</v>
      </c>
      <c r="D145">
        <v>217</v>
      </c>
      <c r="E145" t="s">
        <v>47</v>
      </c>
      <c r="F145" t="s">
        <v>49</v>
      </c>
    </row>
    <row r="146" spans="1:6" x14ac:dyDescent="0.35">
      <c r="A146" s="2">
        <v>45382</v>
      </c>
      <c r="B146" t="s">
        <v>11</v>
      </c>
      <c r="C146" t="s">
        <v>24</v>
      </c>
      <c r="D146">
        <v>24</v>
      </c>
      <c r="E146" t="s">
        <v>47</v>
      </c>
      <c r="F146" t="s">
        <v>51</v>
      </c>
    </row>
    <row r="147" spans="1:6" x14ac:dyDescent="0.35">
      <c r="A147" s="2">
        <v>45382</v>
      </c>
      <c r="B147" t="s">
        <v>13</v>
      </c>
      <c r="C147" t="s">
        <v>27</v>
      </c>
      <c r="D147">
        <v>51</v>
      </c>
      <c r="E147" t="s">
        <v>47</v>
      </c>
      <c r="F147" t="s">
        <v>51</v>
      </c>
    </row>
    <row r="148" spans="1:6" x14ac:dyDescent="0.35">
      <c r="A148" s="2">
        <v>45383</v>
      </c>
      <c r="B148" t="s">
        <v>17</v>
      </c>
      <c r="C148" t="s">
        <v>37</v>
      </c>
      <c r="D148">
        <v>58</v>
      </c>
      <c r="E148" t="s">
        <v>47</v>
      </c>
      <c r="F148" t="s">
        <v>52</v>
      </c>
    </row>
    <row r="149" spans="1:6" x14ac:dyDescent="0.35">
      <c r="A149" s="2">
        <v>45384</v>
      </c>
      <c r="B149" t="s">
        <v>10</v>
      </c>
      <c r="C149" t="s">
        <v>23</v>
      </c>
      <c r="D149">
        <v>16</v>
      </c>
      <c r="E149" t="s">
        <v>47</v>
      </c>
      <c r="F149" t="s">
        <v>52</v>
      </c>
    </row>
    <row r="150" spans="1:6" x14ac:dyDescent="0.35">
      <c r="A150" s="2">
        <v>45385</v>
      </c>
      <c r="B150" t="s">
        <v>8</v>
      </c>
      <c r="C150" t="s">
        <v>21</v>
      </c>
      <c r="D150">
        <v>412</v>
      </c>
      <c r="E150" t="s">
        <v>47</v>
      </c>
      <c r="F150" t="s">
        <v>50</v>
      </c>
    </row>
    <row r="151" spans="1:6" x14ac:dyDescent="0.35">
      <c r="A151" s="2">
        <v>45385</v>
      </c>
      <c r="B151" t="s">
        <v>7</v>
      </c>
      <c r="C151" t="s">
        <v>20</v>
      </c>
      <c r="D151">
        <v>352</v>
      </c>
      <c r="E151" t="s">
        <v>47</v>
      </c>
      <c r="F151" t="s">
        <v>50</v>
      </c>
    </row>
    <row r="152" spans="1:6" x14ac:dyDescent="0.35">
      <c r="A152" s="2">
        <v>45386</v>
      </c>
      <c r="B152" t="s">
        <v>13</v>
      </c>
      <c r="C152" t="s">
        <v>27</v>
      </c>
      <c r="D152">
        <v>32</v>
      </c>
      <c r="E152" t="s">
        <v>47</v>
      </c>
      <c r="F152" t="s">
        <v>50</v>
      </c>
    </row>
    <row r="153" spans="1:6" x14ac:dyDescent="0.35">
      <c r="A153" s="2">
        <v>45386</v>
      </c>
      <c r="B153" t="s">
        <v>7</v>
      </c>
      <c r="C153" t="s">
        <v>39</v>
      </c>
      <c r="D153">
        <v>232</v>
      </c>
      <c r="E153" t="s">
        <v>47</v>
      </c>
      <c r="F153" t="s">
        <v>50</v>
      </c>
    </row>
    <row r="154" spans="1:6" x14ac:dyDescent="0.35">
      <c r="A154" s="2">
        <v>45387</v>
      </c>
      <c r="B154" t="s">
        <v>17</v>
      </c>
      <c r="C154" t="s">
        <v>37</v>
      </c>
      <c r="D154">
        <v>421</v>
      </c>
      <c r="E154" t="s">
        <v>47</v>
      </c>
      <c r="F154" t="s">
        <v>51</v>
      </c>
    </row>
    <row r="155" spans="1:6" x14ac:dyDescent="0.35">
      <c r="A155" s="2">
        <v>45388</v>
      </c>
      <c r="B155" t="s">
        <v>11</v>
      </c>
      <c r="C155" t="s">
        <v>32</v>
      </c>
      <c r="D155">
        <v>394</v>
      </c>
      <c r="E155" t="s">
        <v>47</v>
      </c>
      <c r="F155" t="s">
        <v>52</v>
      </c>
    </row>
    <row r="156" spans="1:6" x14ac:dyDescent="0.35">
      <c r="A156" s="2">
        <v>45388</v>
      </c>
      <c r="B156" t="s">
        <v>11</v>
      </c>
      <c r="C156" t="s">
        <v>32</v>
      </c>
      <c r="D156">
        <v>307</v>
      </c>
      <c r="E156" t="s">
        <v>47</v>
      </c>
      <c r="F156" t="s">
        <v>51</v>
      </c>
    </row>
    <row r="157" spans="1:6" x14ac:dyDescent="0.35">
      <c r="A157" s="2">
        <v>45389</v>
      </c>
      <c r="B157" t="s">
        <v>13</v>
      </c>
      <c r="C157" t="s">
        <v>27</v>
      </c>
      <c r="D157">
        <v>255</v>
      </c>
      <c r="E157" t="s">
        <v>47</v>
      </c>
      <c r="F157" t="s">
        <v>51</v>
      </c>
    </row>
    <row r="158" spans="1:6" x14ac:dyDescent="0.35">
      <c r="A158" s="2">
        <v>45389</v>
      </c>
      <c r="B158" t="s">
        <v>7</v>
      </c>
      <c r="C158" t="s">
        <v>43</v>
      </c>
      <c r="D158">
        <v>293</v>
      </c>
      <c r="E158" t="s">
        <v>47</v>
      </c>
      <c r="F158" t="s">
        <v>52</v>
      </c>
    </row>
    <row r="159" spans="1:6" x14ac:dyDescent="0.35">
      <c r="A159" s="2">
        <v>45390</v>
      </c>
      <c r="B159" t="s">
        <v>17</v>
      </c>
      <c r="C159" t="s">
        <v>37</v>
      </c>
      <c r="D159">
        <v>345</v>
      </c>
      <c r="E159" t="s">
        <v>47</v>
      </c>
      <c r="F159" t="s">
        <v>52</v>
      </c>
    </row>
    <row r="160" spans="1:6" x14ac:dyDescent="0.35">
      <c r="A160" s="2">
        <v>45390</v>
      </c>
      <c r="B160" t="s">
        <v>10</v>
      </c>
      <c r="C160" t="s">
        <v>33</v>
      </c>
      <c r="D160">
        <v>319</v>
      </c>
      <c r="E160" t="s">
        <v>47</v>
      </c>
      <c r="F160" t="s">
        <v>49</v>
      </c>
    </row>
    <row r="161" spans="1:6" x14ac:dyDescent="0.35">
      <c r="A161" s="2">
        <v>45391</v>
      </c>
      <c r="B161" t="s">
        <v>13</v>
      </c>
      <c r="C161" t="s">
        <v>27</v>
      </c>
      <c r="D161">
        <v>109</v>
      </c>
      <c r="E161" t="s">
        <v>47</v>
      </c>
      <c r="F161" t="s">
        <v>49</v>
      </c>
    </row>
    <row r="162" spans="1:6" x14ac:dyDescent="0.35">
      <c r="A162" s="2">
        <v>45392</v>
      </c>
      <c r="B162" t="s">
        <v>12</v>
      </c>
      <c r="C162" t="s">
        <v>25</v>
      </c>
      <c r="D162">
        <v>480</v>
      </c>
      <c r="E162" t="s">
        <v>47</v>
      </c>
      <c r="F162" t="s">
        <v>51</v>
      </c>
    </row>
    <row r="163" spans="1:6" x14ac:dyDescent="0.35">
      <c r="A163" s="2">
        <v>45393</v>
      </c>
      <c r="B163" t="s">
        <v>8</v>
      </c>
      <c r="C163" t="s">
        <v>34</v>
      </c>
      <c r="D163">
        <v>441</v>
      </c>
      <c r="E163" t="s">
        <v>47</v>
      </c>
      <c r="F163" t="s">
        <v>49</v>
      </c>
    </row>
    <row r="164" spans="1:6" x14ac:dyDescent="0.35">
      <c r="A164" s="2">
        <v>45394</v>
      </c>
      <c r="B164" t="s">
        <v>9</v>
      </c>
      <c r="C164" t="s">
        <v>22</v>
      </c>
      <c r="D164">
        <v>87</v>
      </c>
      <c r="E164" t="s">
        <v>47</v>
      </c>
      <c r="F164" t="s">
        <v>51</v>
      </c>
    </row>
    <row r="165" spans="1:6" x14ac:dyDescent="0.35">
      <c r="A165" s="2">
        <v>45395</v>
      </c>
      <c r="B165" t="s">
        <v>17</v>
      </c>
      <c r="C165" t="s">
        <v>37</v>
      </c>
      <c r="D165">
        <v>177</v>
      </c>
      <c r="E165" t="s">
        <v>47</v>
      </c>
      <c r="F165" t="s">
        <v>51</v>
      </c>
    </row>
    <row r="166" spans="1:6" x14ac:dyDescent="0.35">
      <c r="A166" s="2">
        <v>45396</v>
      </c>
      <c r="B166" t="s">
        <v>17</v>
      </c>
      <c r="C166" t="s">
        <v>40</v>
      </c>
      <c r="D166">
        <v>292</v>
      </c>
      <c r="E166" t="s">
        <v>47</v>
      </c>
      <c r="F166" t="s">
        <v>52</v>
      </c>
    </row>
    <row r="167" spans="1:6" x14ac:dyDescent="0.35">
      <c r="A167" s="2">
        <v>45397</v>
      </c>
      <c r="B167" t="s">
        <v>12</v>
      </c>
      <c r="C167" t="s">
        <v>25</v>
      </c>
      <c r="D167">
        <v>254</v>
      </c>
      <c r="E167" t="s">
        <v>47</v>
      </c>
      <c r="F167" t="s">
        <v>52</v>
      </c>
    </row>
    <row r="168" spans="1:6" x14ac:dyDescent="0.35">
      <c r="A168" s="2">
        <v>45397</v>
      </c>
      <c r="B168" t="s">
        <v>8</v>
      </c>
      <c r="C168" t="s">
        <v>21</v>
      </c>
      <c r="D168">
        <v>263</v>
      </c>
      <c r="E168" t="s">
        <v>47</v>
      </c>
      <c r="F168" t="s">
        <v>49</v>
      </c>
    </row>
    <row r="169" spans="1:6" x14ac:dyDescent="0.35">
      <c r="A169" s="2">
        <v>45398</v>
      </c>
      <c r="B169" t="s">
        <v>8</v>
      </c>
      <c r="C169" t="s">
        <v>21</v>
      </c>
      <c r="D169">
        <v>393</v>
      </c>
      <c r="E169" t="s">
        <v>47</v>
      </c>
      <c r="F169" t="s">
        <v>52</v>
      </c>
    </row>
    <row r="170" spans="1:6" x14ac:dyDescent="0.35">
      <c r="A170" s="2">
        <v>45399</v>
      </c>
      <c r="B170" t="s">
        <v>17</v>
      </c>
      <c r="C170" t="s">
        <v>40</v>
      </c>
      <c r="D170">
        <v>259</v>
      </c>
      <c r="E170" t="s">
        <v>47</v>
      </c>
      <c r="F170" t="s">
        <v>49</v>
      </c>
    </row>
    <row r="171" spans="1:6" x14ac:dyDescent="0.35">
      <c r="A171" s="2">
        <v>45400</v>
      </c>
      <c r="B171" t="s">
        <v>7</v>
      </c>
      <c r="C171" t="s">
        <v>20</v>
      </c>
      <c r="D171">
        <v>70</v>
      </c>
      <c r="E171" t="s">
        <v>47</v>
      </c>
      <c r="F171" t="s">
        <v>49</v>
      </c>
    </row>
    <row r="172" spans="1:6" x14ac:dyDescent="0.35">
      <c r="A172" s="2">
        <v>45401</v>
      </c>
      <c r="B172" t="s">
        <v>13</v>
      </c>
      <c r="C172" t="s">
        <v>27</v>
      </c>
      <c r="D172">
        <v>298</v>
      </c>
      <c r="E172" t="s">
        <v>47</v>
      </c>
      <c r="F172" t="s">
        <v>52</v>
      </c>
    </row>
    <row r="173" spans="1:6" x14ac:dyDescent="0.35">
      <c r="A173" s="2">
        <v>45401</v>
      </c>
      <c r="B173" t="s">
        <v>13</v>
      </c>
      <c r="C173" t="s">
        <v>27</v>
      </c>
      <c r="D173">
        <v>342</v>
      </c>
      <c r="E173" t="s">
        <v>47</v>
      </c>
      <c r="F173" t="s">
        <v>52</v>
      </c>
    </row>
    <row r="174" spans="1:6" x14ac:dyDescent="0.35">
      <c r="A174" s="2">
        <v>45402</v>
      </c>
      <c r="B174" t="s">
        <v>13</v>
      </c>
      <c r="C174" t="s">
        <v>27</v>
      </c>
      <c r="D174">
        <v>312</v>
      </c>
      <c r="E174" t="s">
        <v>47</v>
      </c>
      <c r="F174" t="s">
        <v>51</v>
      </c>
    </row>
    <row r="175" spans="1:6" x14ac:dyDescent="0.35">
      <c r="A175" s="2">
        <v>45403</v>
      </c>
      <c r="B175" t="s">
        <v>12</v>
      </c>
      <c r="C175" t="s">
        <v>25</v>
      </c>
      <c r="D175">
        <v>55</v>
      </c>
      <c r="E175" t="s">
        <v>47</v>
      </c>
      <c r="F175" t="s">
        <v>51</v>
      </c>
    </row>
    <row r="176" spans="1:6" x14ac:dyDescent="0.35">
      <c r="A176" s="2">
        <v>45403</v>
      </c>
      <c r="B176" t="s">
        <v>7</v>
      </c>
      <c r="C176" t="s">
        <v>39</v>
      </c>
      <c r="D176">
        <v>392</v>
      </c>
      <c r="E176" t="s">
        <v>47</v>
      </c>
      <c r="F176" t="s">
        <v>52</v>
      </c>
    </row>
    <row r="177" spans="1:6" x14ac:dyDescent="0.35">
      <c r="A177" s="2">
        <v>45404</v>
      </c>
      <c r="B177" t="s">
        <v>17</v>
      </c>
      <c r="C177" t="s">
        <v>40</v>
      </c>
      <c r="D177">
        <v>344</v>
      </c>
      <c r="E177" t="s">
        <v>47</v>
      </c>
      <c r="F177" t="s">
        <v>50</v>
      </c>
    </row>
    <row r="178" spans="1:6" x14ac:dyDescent="0.35">
      <c r="A178" s="2">
        <v>45404</v>
      </c>
      <c r="B178" t="s">
        <v>7</v>
      </c>
      <c r="C178" t="s">
        <v>20</v>
      </c>
      <c r="D178">
        <v>266</v>
      </c>
      <c r="E178" t="s">
        <v>47</v>
      </c>
      <c r="F178" t="s">
        <v>51</v>
      </c>
    </row>
    <row r="179" spans="1:6" x14ac:dyDescent="0.35">
      <c r="A179" s="2">
        <v>45405</v>
      </c>
      <c r="B179" t="s">
        <v>11</v>
      </c>
      <c r="C179" t="s">
        <v>24</v>
      </c>
      <c r="D179">
        <v>253</v>
      </c>
      <c r="E179" t="s">
        <v>47</v>
      </c>
      <c r="F179" t="s">
        <v>49</v>
      </c>
    </row>
    <row r="180" spans="1:6" x14ac:dyDescent="0.35">
      <c r="A180" s="2">
        <v>45405</v>
      </c>
      <c r="B180" t="s">
        <v>12</v>
      </c>
      <c r="C180" t="s">
        <v>25</v>
      </c>
      <c r="D180">
        <v>99</v>
      </c>
      <c r="E180" t="s">
        <v>47</v>
      </c>
      <c r="F180" t="s">
        <v>49</v>
      </c>
    </row>
    <row r="181" spans="1:6" x14ac:dyDescent="0.35">
      <c r="A181" s="2">
        <v>45406</v>
      </c>
      <c r="B181" t="s">
        <v>14</v>
      </c>
      <c r="C181" t="s">
        <v>36</v>
      </c>
      <c r="D181">
        <v>199</v>
      </c>
      <c r="E181" t="s">
        <v>47</v>
      </c>
      <c r="F181" t="s">
        <v>50</v>
      </c>
    </row>
    <row r="182" spans="1:6" x14ac:dyDescent="0.35">
      <c r="A182" s="2">
        <v>45406</v>
      </c>
      <c r="B182" t="s">
        <v>11</v>
      </c>
      <c r="C182" t="s">
        <v>24</v>
      </c>
      <c r="D182">
        <v>97</v>
      </c>
      <c r="E182" t="s">
        <v>47</v>
      </c>
      <c r="F182" t="s">
        <v>50</v>
      </c>
    </row>
    <row r="183" spans="1:6" x14ac:dyDescent="0.35">
      <c r="A183" s="2">
        <v>45407</v>
      </c>
      <c r="B183" t="s">
        <v>11</v>
      </c>
      <c r="C183" t="s">
        <v>24</v>
      </c>
      <c r="D183">
        <v>281</v>
      </c>
      <c r="E183" t="s">
        <v>47</v>
      </c>
      <c r="F183" t="s">
        <v>51</v>
      </c>
    </row>
    <row r="184" spans="1:6" x14ac:dyDescent="0.35">
      <c r="A184" s="2">
        <v>45407</v>
      </c>
      <c r="B184" t="s">
        <v>13</v>
      </c>
      <c r="C184" t="s">
        <v>27</v>
      </c>
      <c r="D184">
        <v>96</v>
      </c>
      <c r="E184" t="s">
        <v>47</v>
      </c>
      <c r="F184" t="s">
        <v>52</v>
      </c>
    </row>
    <row r="185" spans="1:6" x14ac:dyDescent="0.35">
      <c r="A185" s="2">
        <v>45408</v>
      </c>
      <c r="B185" t="s">
        <v>8</v>
      </c>
      <c r="C185" t="s">
        <v>34</v>
      </c>
      <c r="D185">
        <v>137</v>
      </c>
      <c r="E185" t="s">
        <v>47</v>
      </c>
      <c r="F185" t="s">
        <v>51</v>
      </c>
    </row>
    <row r="186" spans="1:6" x14ac:dyDescent="0.35">
      <c r="A186" s="2">
        <v>45409</v>
      </c>
      <c r="B186" t="s">
        <v>13</v>
      </c>
      <c r="C186" t="s">
        <v>27</v>
      </c>
      <c r="D186">
        <v>437</v>
      </c>
      <c r="E186" t="s">
        <v>47</v>
      </c>
      <c r="F186" t="s">
        <v>52</v>
      </c>
    </row>
    <row r="187" spans="1:6" x14ac:dyDescent="0.35">
      <c r="A187" s="2">
        <v>45409</v>
      </c>
      <c r="B187" t="s">
        <v>9</v>
      </c>
      <c r="C187" t="s">
        <v>26</v>
      </c>
      <c r="D187">
        <v>415</v>
      </c>
      <c r="E187" t="s">
        <v>47</v>
      </c>
      <c r="F187" t="s">
        <v>51</v>
      </c>
    </row>
    <row r="188" spans="1:6" x14ac:dyDescent="0.35">
      <c r="A188" s="2">
        <v>45410</v>
      </c>
      <c r="B188" t="s">
        <v>10</v>
      </c>
      <c r="C188" t="s">
        <v>33</v>
      </c>
      <c r="D188">
        <v>243</v>
      </c>
      <c r="E188" t="s">
        <v>47</v>
      </c>
      <c r="F188" t="s">
        <v>50</v>
      </c>
    </row>
    <row r="189" spans="1:6" x14ac:dyDescent="0.35">
      <c r="A189" s="2">
        <v>45411</v>
      </c>
      <c r="B189" t="s">
        <v>17</v>
      </c>
      <c r="C189" t="s">
        <v>40</v>
      </c>
      <c r="D189">
        <v>296</v>
      </c>
      <c r="E189" t="s">
        <v>47</v>
      </c>
      <c r="F189" t="s">
        <v>51</v>
      </c>
    </row>
    <row r="190" spans="1:6" x14ac:dyDescent="0.35">
      <c r="A190" s="2">
        <v>45412</v>
      </c>
      <c r="B190" t="s">
        <v>14</v>
      </c>
      <c r="C190" t="s">
        <v>41</v>
      </c>
      <c r="D190">
        <v>307</v>
      </c>
      <c r="E190" t="s">
        <v>47</v>
      </c>
      <c r="F190" t="s">
        <v>49</v>
      </c>
    </row>
    <row r="191" spans="1:6" x14ac:dyDescent="0.35">
      <c r="A191" s="2">
        <v>45413</v>
      </c>
      <c r="B191" t="s">
        <v>9</v>
      </c>
      <c r="C191" t="s">
        <v>22</v>
      </c>
      <c r="D191">
        <v>475</v>
      </c>
      <c r="E191" t="s">
        <v>47</v>
      </c>
      <c r="F191" t="s">
        <v>52</v>
      </c>
    </row>
    <row r="192" spans="1:6" x14ac:dyDescent="0.35">
      <c r="A192" s="2">
        <v>45413</v>
      </c>
      <c r="B192" t="s">
        <v>6</v>
      </c>
      <c r="C192" t="s">
        <v>28</v>
      </c>
      <c r="D192">
        <v>369</v>
      </c>
      <c r="E192" t="s">
        <v>47</v>
      </c>
      <c r="F192" t="s">
        <v>52</v>
      </c>
    </row>
    <row r="193" spans="1:6" x14ac:dyDescent="0.35">
      <c r="A193" s="2">
        <v>45414</v>
      </c>
      <c r="B193" t="s">
        <v>16</v>
      </c>
      <c r="C193" t="s">
        <v>31</v>
      </c>
      <c r="D193">
        <v>1526</v>
      </c>
      <c r="E193" t="s">
        <v>48</v>
      </c>
      <c r="F193" t="s">
        <v>49</v>
      </c>
    </row>
    <row r="194" spans="1:6" x14ac:dyDescent="0.35">
      <c r="A194" s="2">
        <v>45414</v>
      </c>
      <c r="B194" t="s">
        <v>13</v>
      </c>
      <c r="C194" t="s">
        <v>27</v>
      </c>
      <c r="D194">
        <v>298</v>
      </c>
      <c r="E194" t="s">
        <v>47</v>
      </c>
      <c r="F194" t="s">
        <v>49</v>
      </c>
    </row>
    <row r="195" spans="1:6" x14ac:dyDescent="0.35">
      <c r="A195" s="2">
        <v>45415</v>
      </c>
      <c r="B195" t="s">
        <v>10</v>
      </c>
      <c r="C195" t="s">
        <v>23</v>
      </c>
      <c r="D195">
        <v>489</v>
      </c>
      <c r="E195" t="s">
        <v>47</v>
      </c>
      <c r="F195" t="s">
        <v>50</v>
      </c>
    </row>
    <row r="196" spans="1:6" x14ac:dyDescent="0.35">
      <c r="A196" s="2">
        <v>45415</v>
      </c>
      <c r="B196" t="s">
        <v>9</v>
      </c>
      <c r="C196" t="s">
        <v>26</v>
      </c>
      <c r="D196">
        <v>445</v>
      </c>
      <c r="E196" t="s">
        <v>47</v>
      </c>
      <c r="F196" t="s">
        <v>51</v>
      </c>
    </row>
    <row r="197" spans="1:6" x14ac:dyDescent="0.35">
      <c r="A197" s="2">
        <v>45416</v>
      </c>
      <c r="B197" t="s">
        <v>10</v>
      </c>
      <c r="C197" t="s">
        <v>23</v>
      </c>
      <c r="D197">
        <v>17</v>
      </c>
      <c r="E197" t="s">
        <v>47</v>
      </c>
      <c r="F197" t="s">
        <v>50</v>
      </c>
    </row>
    <row r="198" spans="1:6" x14ac:dyDescent="0.35">
      <c r="A198" s="2">
        <v>45416</v>
      </c>
      <c r="B198" t="s">
        <v>10</v>
      </c>
      <c r="C198" t="s">
        <v>33</v>
      </c>
      <c r="D198">
        <v>398</v>
      </c>
      <c r="E198" t="s">
        <v>47</v>
      </c>
      <c r="F198" t="s">
        <v>49</v>
      </c>
    </row>
    <row r="199" spans="1:6" x14ac:dyDescent="0.35">
      <c r="A199" s="2">
        <v>45417</v>
      </c>
      <c r="B199" t="s">
        <v>14</v>
      </c>
      <c r="C199" t="s">
        <v>41</v>
      </c>
      <c r="D199">
        <v>474</v>
      </c>
      <c r="E199" t="s">
        <v>47</v>
      </c>
      <c r="F199" t="s">
        <v>52</v>
      </c>
    </row>
    <row r="200" spans="1:6" x14ac:dyDescent="0.35">
      <c r="A200" s="2">
        <v>45417</v>
      </c>
      <c r="B200" t="s">
        <v>6</v>
      </c>
      <c r="C200" t="s">
        <v>28</v>
      </c>
      <c r="D200">
        <v>373</v>
      </c>
      <c r="E200" t="s">
        <v>47</v>
      </c>
      <c r="F200" t="s">
        <v>50</v>
      </c>
    </row>
    <row r="201" spans="1:6" x14ac:dyDescent="0.35">
      <c r="A201" s="2">
        <v>45418</v>
      </c>
      <c r="B201" t="s">
        <v>7</v>
      </c>
      <c r="C201" t="s">
        <v>20</v>
      </c>
      <c r="D201">
        <v>184</v>
      </c>
      <c r="E201" t="s">
        <v>47</v>
      </c>
      <c r="F201" t="s">
        <v>52</v>
      </c>
    </row>
    <row r="202" spans="1:6" x14ac:dyDescent="0.35">
      <c r="A202" s="2">
        <v>45419</v>
      </c>
      <c r="B202" t="s">
        <v>6</v>
      </c>
      <c r="C202" t="s">
        <v>19</v>
      </c>
      <c r="D202">
        <v>369</v>
      </c>
      <c r="E202" t="s">
        <v>47</v>
      </c>
      <c r="F202" t="s">
        <v>52</v>
      </c>
    </row>
    <row r="203" spans="1:6" x14ac:dyDescent="0.35">
      <c r="A203" s="2">
        <v>45420</v>
      </c>
      <c r="B203" t="s">
        <v>7</v>
      </c>
      <c r="C203" t="s">
        <v>20</v>
      </c>
      <c r="D203">
        <v>281</v>
      </c>
      <c r="E203" t="s">
        <v>47</v>
      </c>
      <c r="F203" t="s">
        <v>52</v>
      </c>
    </row>
    <row r="204" spans="1:6" x14ac:dyDescent="0.35">
      <c r="A204" s="2">
        <v>45421</v>
      </c>
      <c r="B204" t="s">
        <v>14</v>
      </c>
      <c r="C204" t="s">
        <v>29</v>
      </c>
      <c r="D204">
        <v>335</v>
      </c>
      <c r="E204" t="s">
        <v>47</v>
      </c>
      <c r="F204" t="s">
        <v>52</v>
      </c>
    </row>
    <row r="205" spans="1:6" x14ac:dyDescent="0.35">
      <c r="A205" s="2">
        <v>45421</v>
      </c>
      <c r="B205" t="s">
        <v>6</v>
      </c>
      <c r="C205" t="s">
        <v>19</v>
      </c>
      <c r="D205">
        <v>141</v>
      </c>
      <c r="E205" t="s">
        <v>47</v>
      </c>
      <c r="F205" t="s">
        <v>49</v>
      </c>
    </row>
    <row r="206" spans="1:6" x14ac:dyDescent="0.35">
      <c r="A206" s="2">
        <v>45422</v>
      </c>
      <c r="B206" t="s">
        <v>16</v>
      </c>
      <c r="C206" t="s">
        <v>45</v>
      </c>
      <c r="D206">
        <v>728</v>
      </c>
      <c r="E206" t="s">
        <v>48</v>
      </c>
      <c r="F206" t="s">
        <v>50</v>
      </c>
    </row>
    <row r="207" spans="1:6" x14ac:dyDescent="0.35">
      <c r="A207" s="2">
        <v>45422</v>
      </c>
      <c r="B207" t="s">
        <v>8</v>
      </c>
      <c r="C207" t="s">
        <v>21</v>
      </c>
      <c r="D207">
        <v>472</v>
      </c>
      <c r="E207" t="s">
        <v>47</v>
      </c>
      <c r="F207" t="s">
        <v>50</v>
      </c>
    </row>
    <row r="208" spans="1:6" x14ac:dyDescent="0.35">
      <c r="A208" s="2">
        <v>45422</v>
      </c>
      <c r="B208" t="s">
        <v>14</v>
      </c>
      <c r="C208" t="s">
        <v>41</v>
      </c>
      <c r="D208">
        <v>138</v>
      </c>
      <c r="E208" t="s">
        <v>47</v>
      </c>
      <c r="F208" t="s">
        <v>52</v>
      </c>
    </row>
    <row r="209" spans="1:6" x14ac:dyDescent="0.35">
      <c r="A209" s="2">
        <v>45423</v>
      </c>
      <c r="B209" t="s">
        <v>8</v>
      </c>
      <c r="C209" t="s">
        <v>34</v>
      </c>
      <c r="D209">
        <v>66</v>
      </c>
      <c r="E209" t="s">
        <v>47</v>
      </c>
      <c r="F209" t="s">
        <v>51</v>
      </c>
    </row>
    <row r="210" spans="1:6" x14ac:dyDescent="0.35">
      <c r="A210" s="2">
        <v>45423</v>
      </c>
      <c r="B210" t="s">
        <v>13</v>
      </c>
      <c r="C210" t="s">
        <v>27</v>
      </c>
      <c r="D210">
        <v>339</v>
      </c>
      <c r="E210" t="s">
        <v>47</v>
      </c>
      <c r="F210" t="s">
        <v>49</v>
      </c>
    </row>
    <row r="211" spans="1:6" x14ac:dyDescent="0.35">
      <c r="A211" s="2">
        <v>45424</v>
      </c>
      <c r="B211" t="s">
        <v>7</v>
      </c>
      <c r="C211" t="s">
        <v>20</v>
      </c>
      <c r="D211">
        <v>414</v>
      </c>
      <c r="E211" t="s">
        <v>47</v>
      </c>
      <c r="F211" t="s">
        <v>52</v>
      </c>
    </row>
    <row r="212" spans="1:6" x14ac:dyDescent="0.35">
      <c r="A212" s="2">
        <v>45425</v>
      </c>
      <c r="B212" t="s">
        <v>17</v>
      </c>
      <c r="C212" t="s">
        <v>40</v>
      </c>
      <c r="D212">
        <v>117</v>
      </c>
      <c r="E212" t="s">
        <v>47</v>
      </c>
      <c r="F212" t="s">
        <v>50</v>
      </c>
    </row>
    <row r="213" spans="1:6" x14ac:dyDescent="0.35">
      <c r="A213" s="2">
        <v>45425</v>
      </c>
      <c r="B213" t="s">
        <v>17</v>
      </c>
      <c r="C213" t="s">
        <v>40</v>
      </c>
      <c r="D213">
        <v>146</v>
      </c>
      <c r="E213" t="s">
        <v>47</v>
      </c>
      <c r="F213" t="s">
        <v>50</v>
      </c>
    </row>
    <row r="214" spans="1:6" x14ac:dyDescent="0.35">
      <c r="A214" s="2">
        <v>45426</v>
      </c>
      <c r="B214" t="s">
        <v>14</v>
      </c>
      <c r="C214" t="s">
        <v>36</v>
      </c>
      <c r="D214">
        <v>495</v>
      </c>
      <c r="E214" t="s">
        <v>47</v>
      </c>
      <c r="F214" t="s">
        <v>49</v>
      </c>
    </row>
    <row r="215" spans="1:6" x14ac:dyDescent="0.35">
      <c r="A215" s="2">
        <v>45426</v>
      </c>
      <c r="B215" t="s">
        <v>17</v>
      </c>
      <c r="C215" t="s">
        <v>40</v>
      </c>
      <c r="D215">
        <v>182</v>
      </c>
      <c r="E215" t="s">
        <v>47</v>
      </c>
      <c r="F215" t="s">
        <v>50</v>
      </c>
    </row>
    <row r="216" spans="1:6" x14ac:dyDescent="0.35">
      <c r="A216" s="2">
        <v>45427</v>
      </c>
      <c r="B216" t="s">
        <v>9</v>
      </c>
      <c r="C216" t="s">
        <v>22</v>
      </c>
      <c r="D216">
        <v>390</v>
      </c>
      <c r="E216" t="s">
        <v>47</v>
      </c>
      <c r="F216" t="s">
        <v>51</v>
      </c>
    </row>
    <row r="217" spans="1:6" x14ac:dyDescent="0.35">
      <c r="A217" s="2">
        <v>45428</v>
      </c>
      <c r="B217" t="s">
        <v>17</v>
      </c>
      <c r="C217" t="s">
        <v>37</v>
      </c>
      <c r="D217">
        <v>105</v>
      </c>
      <c r="E217" t="s">
        <v>47</v>
      </c>
      <c r="F217" t="s">
        <v>51</v>
      </c>
    </row>
    <row r="218" spans="1:6" x14ac:dyDescent="0.35">
      <c r="A218" s="2">
        <v>45428</v>
      </c>
      <c r="B218" t="s">
        <v>17</v>
      </c>
      <c r="C218" t="s">
        <v>37</v>
      </c>
      <c r="D218">
        <v>463</v>
      </c>
      <c r="E218" t="s">
        <v>47</v>
      </c>
      <c r="F218" t="s">
        <v>49</v>
      </c>
    </row>
    <row r="219" spans="1:6" x14ac:dyDescent="0.35">
      <c r="A219" s="2">
        <v>45429</v>
      </c>
      <c r="B219" t="s">
        <v>11</v>
      </c>
      <c r="C219" t="s">
        <v>42</v>
      </c>
      <c r="D219">
        <v>99</v>
      </c>
      <c r="E219" t="s">
        <v>47</v>
      </c>
      <c r="F219" t="s">
        <v>51</v>
      </c>
    </row>
    <row r="220" spans="1:6" x14ac:dyDescent="0.35">
      <c r="A220" s="2">
        <v>45430</v>
      </c>
      <c r="B220" t="s">
        <v>13</v>
      </c>
      <c r="C220" t="s">
        <v>27</v>
      </c>
      <c r="D220">
        <v>338</v>
      </c>
      <c r="E220" t="s">
        <v>47</v>
      </c>
      <c r="F220" t="s">
        <v>51</v>
      </c>
    </row>
    <row r="221" spans="1:6" x14ac:dyDescent="0.35">
      <c r="A221" s="2">
        <v>45430</v>
      </c>
      <c r="B221" t="s">
        <v>6</v>
      </c>
      <c r="C221" t="s">
        <v>19</v>
      </c>
      <c r="D221">
        <v>141</v>
      </c>
      <c r="E221" t="s">
        <v>47</v>
      </c>
      <c r="F221" t="s">
        <v>52</v>
      </c>
    </row>
    <row r="222" spans="1:6" x14ac:dyDescent="0.35">
      <c r="A222" s="2">
        <v>45431</v>
      </c>
      <c r="B222" t="s">
        <v>17</v>
      </c>
      <c r="C222" t="s">
        <v>40</v>
      </c>
      <c r="D222">
        <v>324</v>
      </c>
      <c r="E222" t="s">
        <v>47</v>
      </c>
      <c r="F222" t="s">
        <v>52</v>
      </c>
    </row>
    <row r="223" spans="1:6" x14ac:dyDescent="0.35">
      <c r="A223" s="2">
        <v>45432</v>
      </c>
      <c r="B223" t="s">
        <v>15</v>
      </c>
      <c r="C223" t="s">
        <v>30</v>
      </c>
      <c r="D223">
        <v>1372</v>
      </c>
      <c r="E223" t="s">
        <v>48</v>
      </c>
      <c r="F223" t="s">
        <v>51</v>
      </c>
    </row>
    <row r="224" spans="1:6" x14ac:dyDescent="0.35">
      <c r="A224" s="2">
        <v>45432</v>
      </c>
      <c r="B224" t="s">
        <v>11</v>
      </c>
      <c r="C224" t="s">
        <v>32</v>
      </c>
      <c r="D224">
        <v>169</v>
      </c>
      <c r="E224" t="s">
        <v>47</v>
      </c>
      <c r="F224" t="s">
        <v>51</v>
      </c>
    </row>
    <row r="225" spans="1:6" x14ac:dyDescent="0.35">
      <c r="A225" s="2">
        <v>45432</v>
      </c>
      <c r="B225" t="s">
        <v>11</v>
      </c>
      <c r="C225" t="s">
        <v>24</v>
      </c>
      <c r="D225">
        <v>82</v>
      </c>
      <c r="E225" t="s">
        <v>47</v>
      </c>
      <c r="F225" t="s">
        <v>52</v>
      </c>
    </row>
    <row r="226" spans="1:6" x14ac:dyDescent="0.35">
      <c r="A226" s="2">
        <v>45433</v>
      </c>
      <c r="B226" t="s">
        <v>9</v>
      </c>
      <c r="C226" t="s">
        <v>26</v>
      </c>
      <c r="D226">
        <v>406</v>
      </c>
      <c r="E226" t="s">
        <v>47</v>
      </c>
      <c r="F226" t="s">
        <v>50</v>
      </c>
    </row>
    <row r="227" spans="1:6" x14ac:dyDescent="0.35">
      <c r="A227" s="2">
        <v>45434</v>
      </c>
      <c r="B227" t="s">
        <v>11</v>
      </c>
      <c r="C227" t="s">
        <v>32</v>
      </c>
      <c r="D227">
        <v>426</v>
      </c>
      <c r="E227" t="s">
        <v>47</v>
      </c>
      <c r="F227" t="s">
        <v>51</v>
      </c>
    </row>
    <row r="228" spans="1:6" x14ac:dyDescent="0.35">
      <c r="A228" s="2">
        <v>45434</v>
      </c>
      <c r="B228" t="s">
        <v>12</v>
      </c>
      <c r="C228" t="s">
        <v>35</v>
      </c>
      <c r="D228">
        <v>147</v>
      </c>
      <c r="E228" t="s">
        <v>47</v>
      </c>
      <c r="F228" t="s">
        <v>51</v>
      </c>
    </row>
    <row r="229" spans="1:6" x14ac:dyDescent="0.35">
      <c r="A229" s="2">
        <v>45435</v>
      </c>
      <c r="B229" t="s">
        <v>12</v>
      </c>
      <c r="C229" t="s">
        <v>25</v>
      </c>
      <c r="D229">
        <v>466</v>
      </c>
      <c r="E229" t="s">
        <v>47</v>
      </c>
      <c r="F229" t="s">
        <v>51</v>
      </c>
    </row>
    <row r="230" spans="1:6" x14ac:dyDescent="0.35">
      <c r="A230" s="2">
        <v>45436</v>
      </c>
      <c r="B230" t="s">
        <v>12</v>
      </c>
      <c r="C230" t="s">
        <v>35</v>
      </c>
      <c r="D230">
        <v>202</v>
      </c>
      <c r="E230" t="s">
        <v>47</v>
      </c>
      <c r="F230" t="s">
        <v>52</v>
      </c>
    </row>
    <row r="231" spans="1:6" x14ac:dyDescent="0.35">
      <c r="A231" s="2">
        <v>45437</v>
      </c>
      <c r="B231" t="s">
        <v>6</v>
      </c>
      <c r="C231" t="s">
        <v>28</v>
      </c>
      <c r="D231">
        <v>452</v>
      </c>
      <c r="E231" t="s">
        <v>47</v>
      </c>
      <c r="F231" t="s">
        <v>50</v>
      </c>
    </row>
    <row r="232" spans="1:6" x14ac:dyDescent="0.35">
      <c r="A232" s="2">
        <v>45438</v>
      </c>
      <c r="B232" t="s">
        <v>17</v>
      </c>
      <c r="C232" t="s">
        <v>40</v>
      </c>
      <c r="D232">
        <v>482</v>
      </c>
      <c r="E232" t="s">
        <v>47</v>
      </c>
      <c r="F232" t="s">
        <v>49</v>
      </c>
    </row>
    <row r="233" spans="1:6" x14ac:dyDescent="0.35">
      <c r="A233" s="2">
        <v>45439</v>
      </c>
      <c r="B233" t="s">
        <v>8</v>
      </c>
      <c r="C233" t="s">
        <v>34</v>
      </c>
      <c r="D233">
        <v>101</v>
      </c>
      <c r="E233" t="s">
        <v>47</v>
      </c>
      <c r="F233" t="s">
        <v>51</v>
      </c>
    </row>
    <row r="234" spans="1:6" x14ac:dyDescent="0.35">
      <c r="A234" s="2">
        <v>45440</v>
      </c>
      <c r="B234" t="s">
        <v>17</v>
      </c>
      <c r="C234" t="s">
        <v>40</v>
      </c>
      <c r="D234">
        <v>200</v>
      </c>
      <c r="E234" t="s">
        <v>47</v>
      </c>
      <c r="F234" t="s">
        <v>52</v>
      </c>
    </row>
    <row r="235" spans="1:6" x14ac:dyDescent="0.35">
      <c r="A235" s="2">
        <v>45441</v>
      </c>
      <c r="B235" t="s">
        <v>9</v>
      </c>
      <c r="C235" t="s">
        <v>26</v>
      </c>
      <c r="D235">
        <v>122</v>
      </c>
      <c r="E235" t="s">
        <v>47</v>
      </c>
      <c r="F235" t="s">
        <v>52</v>
      </c>
    </row>
    <row r="236" spans="1:6" x14ac:dyDescent="0.35">
      <c r="A236" s="2">
        <v>45442</v>
      </c>
      <c r="B236" t="s">
        <v>14</v>
      </c>
      <c r="C236" t="s">
        <v>36</v>
      </c>
      <c r="D236">
        <v>220</v>
      </c>
      <c r="E236" t="s">
        <v>47</v>
      </c>
      <c r="F236" t="s">
        <v>50</v>
      </c>
    </row>
    <row r="237" spans="1:6" x14ac:dyDescent="0.35">
      <c r="A237" s="2">
        <v>45443</v>
      </c>
      <c r="B237" t="s">
        <v>6</v>
      </c>
      <c r="C237" t="s">
        <v>19</v>
      </c>
      <c r="D237">
        <v>161</v>
      </c>
      <c r="E237" t="s">
        <v>47</v>
      </c>
      <c r="F237" t="s">
        <v>49</v>
      </c>
    </row>
    <row r="238" spans="1:6" x14ac:dyDescent="0.35">
      <c r="A238" s="2">
        <v>45444</v>
      </c>
      <c r="B238" t="s">
        <v>13</v>
      </c>
      <c r="C238" t="s">
        <v>27</v>
      </c>
      <c r="D238">
        <v>415</v>
      </c>
      <c r="E238" t="s">
        <v>47</v>
      </c>
      <c r="F238" t="s">
        <v>49</v>
      </c>
    </row>
    <row r="239" spans="1:6" x14ac:dyDescent="0.35">
      <c r="A239" s="2">
        <v>45445</v>
      </c>
      <c r="B239" t="s">
        <v>14</v>
      </c>
      <c r="C239" t="s">
        <v>29</v>
      </c>
      <c r="D239">
        <v>303</v>
      </c>
      <c r="E239" t="s">
        <v>47</v>
      </c>
      <c r="F239" t="s">
        <v>49</v>
      </c>
    </row>
    <row r="240" spans="1:6" x14ac:dyDescent="0.35">
      <c r="A240" s="2">
        <v>45445</v>
      </c>
      <c r="B240" t="s">
        <v>7</v>
      </c>
      <c r="C240" t="s">
        <v>43</v>
      </c>
      <c r="D240">
        <v>258</v>
      </c>
      <c r="E240" t="s">
        <v>47</v>
      </c>
      <c r="F240" t="s">
        <v>52</v>
      </c>
    </row>
    <row r="241" spans="1:6" x14ac:dyDescent="0.35">
      <c r="A241" s="2">
        <v>45446</v>
      </c>
      <c r="B241" t="s">
        <v>6</v>
      </c>
      <c r="C241" t="s">
        <v>19</v>
      </c>
      <c r="D241">
        <v>307</v>
      </c>
      <c r="E241" t="s">
        <v>47</v>
      </c>
      <c r="F241" t="s">
        <v>52</v>
      </c>
    </row>
    <row r="242" spans="1:6" x14ac:dyDescent="0.35">
      <c r="A242" s="2">
        <v>45446</v>
      </c>
      <c r="B242" t="s">
        <v>9</v>
      </c>
      <c r="C242" t="s">
        <v>26</v>
      </c>
      <c r="D242">
        <v>108</v>
      </c>
      <c r="E242" t="s">
        <v>47</v>
      </c>
      <c r="F242" t="s">
        <v>52</v>
      </c>
    </row>
    <row r="243" spans="1:6" x14ac:dyDescent="0.35">
      <c r="A243" s="2">
        <v>45447</v>
      </c>
      <c r="B243" t="s">
        <v>6</v>
      </c>
      <c r="C243" t="s">
        <v>28</v>
      </c>
      <c r="D243">
        <v>175</v>
      </c>
      <c r="E243" t="s">
        <v>47</v>
      </c>
      <c r="F243" t="s">
        <v>50</v>
      </c>
    </row>
    <row r="244" spans="1:6" x14ac:dyDescent="0.35">
      <c r="A244" s="2">
        <v>45448</v>
      </c>
      <c r="B244" t="s">
        <v>14</v>
      </c>
      <c r="C244" t="s">
        <v>36</v>
      </c>
      <c r="D244">
        <v>380</v>
      </c>
      <c r="E244" t="s">
        <v>47</v>
      </c>
      <c r="F244" t="s">
        <v>51</v>
      </c>
    </row>
    <row r="245" spans="1:6" x14ac:dyDescent="0.35">
      <c r="A245" s="2">
        <v>45448</v>
      </c>
      <c r="B245" t="s">
        <v>6</v>
      </c>
      <c r="C245" t="s">
        <v>19</v>
      </c>
      <c r="D245">
        <v>110</v>
      </c>
      <c r="E245" t="s">
        <v>47</v>
      </c>
      <c r="F245" t="s">
        <v>51</v>
      </c>
    </row>
    <row r="246" spans="1:6" x14ac:dyDescent="0.35">
      <c r="A246" s="2">
        <v>45449</v>
      </c>
      <c r="B246" t="s">
        <v>10</v>
      </c>
      <c r="C246" t="s">
        <v>33</v>
      </c>
      <c r="D246">
        <v>55</v>
      </c>
      <c r="E246" t="s">
        <v>47</v>
      </c>
      <c r="F246" t="s">
        <v>51</v>
      </c>
    </row>
    <row r="247" spans="1:6" x14ac:dyDescent="0.35">
      <c r="A247" s="2">
        <v>45449</v>
      </c>
      <c r="B247" t="s">
        <v>6</v>
      </c>
      <c r="C247" t="s">
        <v>19</v>
      </c>
      <c r="D247">
        <v>218</v>
      </c>
      <c r="E247" t="s">
        <v>47</v>
      </c>
      <c r="F247" t="s">
        <v>49</v>
      </c>
    </row>
    <row r="248" spans="1:6" x14ac:dyDescent="0.35">
      <c r="A248" s="2">
        <v>45450</v>
      </c>
      <c r="B248" t="s">
        <v>7</v>
      </c>
      <c r="C248" t="s">
        <v>39</v>
      </c>
      <c r="D248">
        <v>350</v>
      </c>
      <c r="E248" t="s">
        <v>47</v>
      </c>
      <c r="F248" t="s">
        <v>52</v>
      </c>
    </row>
    <row r="249" spans="1:6" x14ac:dyDescent="0.35">
      <c r="A249" s="2">
        <v>45450</v>
      </c>
      <c r="B249" t="s">
        <v>14</v>
      </c>
      <c r="C249" t="s">
        <v>29</v>
      </c>
      <c r="D249">
        <v>475</v>
      </c>
      <c r="E249" t="s">
        <v>47</v>
      </c>
      <c r="F249" t="s">
        <v>51</v>
      </c>
    </row>
    <row r="250" spans="1:6" x14ac:dyDescent="0.35">
      <c r="A250" s="2">
        <v>45451</v>
      </c>
      <c r="B250" t="s">
        <v>12</v>
      </c>
      <c r="C250" t="s">
        <v>35</v>
      </c>
      <c r="D250">
        <v>428</v>
      </c>
      <c r="E250" t="s">
        <v>47</v>
      </c>
      <c r="F250" t="s">
        <v>49</v>
      </c>
    </row>
    <row r="251" spans="1:6" x14ac:dyDescent="0.35">
      <c r="A251" s="2">
        <v>45451</v>
      </c>
      <c r="B251" t="s">
        <v>7</v>
      </c>
      <c r="C251" t="s">
        <v>43</v>
      </c>
      <c r="D251">
        <v>461</v>
      </c>
      <c r="E251" t="s">
        <v>47</v>
      </c>
      <c r="F251" t="s">
        <v>51</v>
      </c>
    </row>
    <row r="252" spans="1:6" x14ac:dyDescent="0.35">
      <c r="A252" s="2">
        <v>45452</v>
      </c>
      <c r="B252" t="s">
        <v>10</v>
      </c>
      <c r="C252" t="s">
        <v>23</v>
      </c>
      <c r="D252">
        <v>158</v>
      </c>
      <c r="E252" t="s">
        <v>47</v>
      </c>
      <c r="F252" t="s">
        <v>51</v>
      </c>
    </row>
    <row r="253" spans="1:6" x14ac:dyDescent="0.35">
      <c r="A253" s="2">
        <v>45452</v>
      </c>
      <c r="B253" t="s">
        <v>11</v>
      </c>
      <c r="C253" t="s">
        <v>24</v>
      </c>
      <c r="D253">
        <v>248</v>
      </c>
      <c r="E253" t="s">
        <v>47</v>
      </c>
      <c r="F253" t="s">
        <v>51</v>
      </c>
    </row>
    <row r="254" spans="1:6" x14ac:dyDescent="0.35">
      <c r="A254" s="2">
        <v>45453</v>
      </c>
      <c r="B254" t="s">
        <v>13</v>
      </c>
      <c r="C254" t="s">
        <v>27</v>
      </c>
      <c r="D254">
        <v>395</v>
      </c>
      <c r="E254" t="s">
        <v>47</v>
      </c>
      <c r="F254" t="s">
        <v>52</v>
      </c>
    </row>
    <row r="255" spans="1:6" x14ac:dyDescent="0.35">
      <c r="A255" s="2">
        <v>45453</v>
      </c>
      <c r="B255" t="s">
        <v>13</v>
      </c>
      <c r="C255" t="s">
        <v>27</v>
      </c>
      <c r="D255">
        <v>351</v>
      </c>
      <c r="E255" t="s">
        <v>47</v>
      </c>
      <c r="F255" t="s">
        <v>51</v>
      </c>
    </row>
    <row r="256" spans="1:6" x14ac:dyDescent="0.35">
      <c r="A256" s="2">
        <v>45454</v>
      </c>
      <c r="B256" t="s">
        <v>11</v>
      </c>
      <c r="C256" t="s">
        <v>42</v>
      </c>
      <c r="D256">
        <v>156</v>
      </c>
      <c r="E256" t="s">
        <v>47</v>
      </c>
      <c r="F256" t="s">
        <v>51</v>
      </c>
    </row>
    <row r="257" spans="1:6" x14ac:dyDescent="0.35">
      <c r="A257" s="2">
        <v>45455</v>
      </c>
      <c r="B257" t="s">
        <v>7</v>
      </c>
      <c r="C257" t="s">
        <v>39</v>
      </c>
      <c r="D257">
        <v>181</v>
      </c>
      <c r="E257" t="s">
        <v>47</v>
      </c>
      <c r="F257" t="s">
        <v>51</v>
      </c>
    </row>
    <row r="258" spans="1:6" x14ac:dyDescent="0.35">
      <c r="A258" s="2">
        <v>45455</v>
      </c>
      <c r="B258" t="s">
        <v>8</v>
      </c>
      <c r="C258" t="s">
        <v>21</v>
      </c>
      <c r="D258">
        <v>160</v>
      </c>
      <c r="E258" t="s">
        <v>47</v>
      </c>
      <c r="F258" t="s">
        <v>52</v>
      </c>
    </row>
    <row r="259" spans="1:6" x14ac:dyDescent="0.35">
      <c r="A259" s="2">
        <v>45456</v>
      </c>
      <c r="B259" t="s">
        <v>17</v>
      </c>
      <c r="C259" t="s">
        <v>40</v>
      </c>
      <c r="D259">
        <v>365</v>
      </c>
      <c r="E259" t="s">
        <v>47</v>
      </c>
      <c r="F259" t="s">
        <v>51</v>
      </c>
    </row>
    <row r="260" spans="1:6" x14ac:dyDescent="0.35">
      <c r="A260" s="2">
        <v>45457</v>
      </c>
      <c r="B260" t="s">
        <v>6</v>
      </c>
      <c r="C260" t="s">
        <v>19</v>
      </c>
      <c r="D260">
        <v>331</v>
      </c>
      <c r="E260" t="s">
        <v>47</v>
      </c>
      <c r="F260" t="s">
        <v>51</v>
      </c>
    </row>
    <row r="261" spans="1:6" x14ac:dyDescent="0.35">
      <c r="A261" s="2">
        <v>45457</v>
      </c>
      <c r="B261" t="s">
        <v>12</v>
      </c>
      <c r="C261" t="s">
        <v>35</v>
      </c>
      <c r="D261">
        <v>383</v>
      </c>
      <c r="E261" t="s">
        <v>47</v>
      </c>
      <c r="F261" t="s">
        <v>50</v>
      </c>
    </row>
    <row r="262" spans="1:6" x14ac:dyDescent="0.35">
      <c r="A262" s="2">
        <v>45458</v>
      </c>
      <c r="B262" t="s">
        <v>17</v>
      </c>
      <c r="C262" t="s">
        <v>37</v>
      </c>
      <c r="D262">
        <v>481</v>
      </c>
      <c r="E262" t="s">
        <v>47</v>
      </c>
      <c r="F262" t="s">
        <v>52</v>
      </c>
    </row>
    <row r="263" spans="1:6" x14ac:dyDescent="0.35">
      <c r="A263" s="2">
        <v>45458</v>
      </c>
      <c r="B263" t="s">
        <v>6</v>
      </c>
      <c r="C263" t="s">
        <v>19</v>
      </c>
      <c r="D263">
        <v>22</v>
      </c>
      <c r="E263" t="s">
        <v>47</v>
      </c>
      <c r="F263" t="s">
        <v>51</v>
      </c>
    </row>
    <row r="264" spans="1:6" x14ac:dyDescent="0.35">
      <c r="A264" s="2">
        <v>45459</v>
      </c>
      <c r="B264" t="s">
        <v>13</v>
      </c>
      <c r="C264" t="s">
        <v>27</v>
      </c>
      <c r="D264">
        <v>198</v>
      </c>
      <c r="E264" t="s">
        <v>47</v>
      </c>
      <c r="F264" t="s">
        <v>52</v>
      </c>
    </row>
    <row r="265" spans="1:6" x14ac:dyDescent="0.35">
      <c r="A265" s="2">
        <v>45460</v>
      </c>
      <c r="B265" t="s">
        <v>8</v>
      </c>
      <c r="C265" t="s">
        <v>34</v>
      </c>
      <c r="D265">
        <v>323</v>
      </c>
      <c r="E265" t="s">
        <v>47</v>
      </c>
      <c r="F265" t="s">
        <v>50</v>
      </c>
    </row>
    <row r="266" spans="1:6" x14ac:dyDescent="0.35">
      <c r="A266" s="2">
        <v>45460</v>
      </c>
      <c r="B266" t="s">
        <v>17</v>
      </c>
      <c r="C266" t="s">
        <v>40</v>
      </c>
      <c r="D266">
        <v>417</v>
      </c>
      <c r="E266" t="s">
        <v>47</v>
      </c>
      <c r="F266" t="s">
        <v>49</v>
      </c>
    </row>
    <row r="267" spans="1:6" x14ac:dyDescent="0.35">
      <c r="A267" s="2">
        <v>45461</v>
      </c>
      <c r="B267" t="s">
        <v>9</v>
      </c>
      <c r="C267" t="s">
        <v>22</v>
      </c>
      <c r="D267">
        <v>471</v>
      </c>
      <c r="E267" t="s">
        <v>47</v>
      </c>
      <c r="F267" t="s">
        <v>52</v>
      </c>
    </row>
    <row r="268" spans="1:6" x14ac:dyDescent="0.35">
      <c r="A268" s="2">
        <v>45461</v>
      </c>
      <c r="B268" t="s">
        <v>13</v>
      </c>
      <c r="C268" t="s">
        <v>27</v>
      </c>
      <c r="D268">
        <v>384</v>
      </c>
      <c r="E268" t="s">
        <v>47</v>
      </c>
      <c r="F268" t="s">
        <v>51</v>
      </c>
    </row>
    <row r="269" spans="1:6" x14ac:dyDescent="0.35">
      <c r="A269" s="2">
        <v>45462</v>
      </c>
      <c r="B269" t="s">
        <v>18</v>
      </c>
      <c r="C269" t="s">
        <v>46</v>
      </c>
      <c r="D269">
        <v>3920</v>
      </c>
      <c r="E269" t="s">
        <v>48</v>
      </c>
      <c r="F269" t="s">
        <v>50</v>
      </c>
    </row>
    <row r="270" spans="1:6" x14ac:dyDescent="0.35">
      <c r="A270" s="2">
        <v>45462</v>
      </c>
      <c r="B270" t="s">
        <v>10</v>
      </c>
      <c r="C270" t="s">
        <v>23</v>
      </c>
      <c r="D270">
        <v>327</v>
      </c>
      <c r="E270" t="s">
        <v>47</v>
      </c>
      <c r="F270" t="s">
        <v>50</v>
      </c>
    </row>
    <row r="271" spans="1:6" x14ac:dyDescent="0.35">
      <c r="A271" s="2">
        <v>45463</v>
      </c>
      <c r="B271" t="s">
        <v>6</v>
      </c>
      <c r="C271" t="s">
        <v>28</v>
      </c>
      <c r="D271">
        <v>253</v>
      </c>
      <c r="E271" t="s">
        <v>47</v>
      </c>
      <c r="F271" t="s">
        <v>49</v>
      </c>
    </row>
    <row r="272" spans="1:6" x14ac:dyDescent="0.35">
      <c r="A272" s="2">
        <v>45464</v>
      </c>
      <c r="B272" t="s">
        <v>17</v>
      </c>
      <c r="C272" t="s">
        <v>40</v>
      </c>
      <c r="D272">
        <v>499</v>
      </c>
      <c r="E272" t="s">
        <v>47</v>
      </c>
      <c r="F272" t="s">
        <v>50</v>
      </c>
    </row>
    <row r="273" spans="1:6" x14ac:dyDescent="0.35">
      <c r="A273" s="2">
        <v>45465</v>
      </c>
      <c r="B273" t="s">
        <v>6</v>
      </c>
      <c r="C273" t="s">
        <v>28</v>
      </c>
      <c r="D273">
        <v>292</v>
      </c>
      <c r="E273" t="s">
        <v>47</v>
      </c>
      <c r="F273" t="s">
        <v>50</v>
      </c>
    </row>
    <row r="274" spans="1:6" x14ac:dyDescent="0.35">
      <c r="A274" s="2">
        <v>45465</v>
      </c>
      <c r="B274" t="s">
        <v>14</v>
      </c>
      <c r="C274" t="s">
        <v>36</v>
      </c>
      <c r="D274">
        <v>186</v>
      </c>
      <c r="E274" t="s">
        <v>47</v>
      </c>
      <c r="F274" t="s">
        <v>51</v>
      </c>
    </row>
    <row r="275" spans="1:6" x14ac:dyDescent="0.35">
      <c r="A275" s="2">
        <v>45466</v>
      </c>
      <c r="B275" t="s">
        <v>13</v>
      </c>
      <c r="C275" t="s">
        <v>27</v>
      </c>
      <c r="D275">
        <v>11</v>
      </c>
      <c r="E275" t="s">
        <v>47</v>
      </c>
      <c r="F275" t="s">
        <v>52</v>
      </c>
    </row>
    <row r="276" spans="1:6" x14ac:dyDescent="0.35">
      <c r="A276" s="2">
        <v>45467</v>
      </c>
      <c r="B276" t="s">
        <v>7</v>
      </c>
      <c r="C276" t="s">
        <v>43</v>
      </c>
      <c r="D276">
        <v>116</v>
      </c>
      <c r="E276" t="s">
        <v>47</v>
      </c>
      <c r="F276" t="s">
        <v>51</v>
      </c>
    </row>
    <row r="277" spans="1:6" x14ac:dyDescent="0.35">
      <c r="A277" s="2">
        <v>45468</v>
      </c>
      <c r="B277" t="s">
        <v>13</v>
      </c>
      <c r="C277" t="s">
        <v>27</v>
      </c>
      <c r="D277">
        <v>6</v>
      </c>
      <c r="E277" t="s">
        <v>47</v>
      </c>
      <c r="F277" t="s">
        <v>51</v>
      </c>
    </row>
    <row r="278" spans="1:6" x14ac:dyDescent="0.35">
      <c r="A278" s="2">
        <v>45469</v>
      </c>
      <c r="B278" t="s">
        <v>9</v>
      </c>
      <c r="C278" t="s">
        <v>26</v>
      </c>
      <c r="D278">
        <v>390</v>
      </c>
      <c r="E278" t="s">
        <v>47</v>
      </c>
      <c r="F278" t="s">
        <v>49</v>
      </c>
    </row>
    <row r="279" spans="1:6" x14ac:dyDescent="0.35">
      <c r="A279" s="2">
        <v>45469</v>
      </c>
      <c r="B279" t="s">
        <v>12</v>
      </c>
      <c r="C279" t="s">
        <v>35</v>
      </c>
      <c r="D279">
        <v>400</v>
      </c>
      <c r="E279" t="s">
        <v>47</v>
      </c>
      <c r="F279" t="s">
        <v>50</v>
      </c>
    </row>
    <row r="280" spans="1:6" x14ac:dyDescent="0.35">
      <c r="A280" s="2">
        <v>45470</v>
      </c>
      <c r="B280" t="s">
        <v>10</v>
      </c>
      <c r="C280" t="s">
        <v>33</v>
      </c>
      <c r="D280">
        <v>57</v>
      </c>
      <c r="E280" t="s">
        <v>47</v>
      </c>
      <c r="F280" t="s">
        <v>50</v>
      </c>
    </row>
    <row r="281" spans="1:6" x14ac:dyDescent="0.35">
      <c r="A281" s="2">
        <v>45470</v>
      </c>
      <c r="B281" t="s">
        <v>11</v>
      </c>
      <c r="C281" t="s">
        <v>42</v>
      </c>
      <c r="D281">
        <v>346</v>
      </c>
      <c r="E281" t="s">
        <v>47</v>
      </c>
      <c r="F281" t="s">
        <v>50</v>
      </c>
    </row>
    <row r="282" spans="1:6" x14ac:dyDescent="0.35">
      <c r="A282" s="2">
        <v>45471</v>
      </c>
      <c r="B282" t="s">
        <v>6</v>
      </c>
      <c r="C282" t="s">
        <v>19</v>
      </c>
      <c r="D282">
        <v>498</v>
      </c>
      <c r="E282" t="s">
        <v>47</v>
      </c>
      <c r="F282" t="s">
        <v>49</v>
      </c>
    </row>
    <row r="283" spans="1:6" x14ac:dyDescent="0.35">
      <c r="A283" s="2">
        <v>45471</v>
      </c>
      <c r="B283" t="s">
        <v>17</v>
      </c>
      <c r="C283" t="s">
        <v>40</v>
      </c>
      <c r="D283">
        <v>119</v>
      </c>
      <c r="E283" t="s">
        <v>47</v>
      </c>
      <c r="F283" t="s">
        <v>51</v>
      </c>
    </row>
    <row r="284" spans="1:6" x14ac:dyDescent="0.35">
      <c r="A284" s="2">
        <v>45472</v>
      </c>
      <c r="B284" t="s">
        <v>13</v>
      </c>
      <c r="C284" t="s">
        <v>27</v>
      </c>
      <c r="D284">
        <v>241</v>
      </c>
      <c r="E284" t="s">
        <v>47</v>
      </c>
      <c r="F284" t="s">
        <v>51</v>
      </c>
    </row>
    <row r="285" spans="1:6" x14ac:dyDescent="0.35">
      <c r="A285" s="2">
        <v>45472</v>
      </c>
      <c r="B285" t="s">
        <v>12</v>
      </c>
      <c r="C285" t="s">
        <v>35</v>
      </c>
      <c r="D285">
        <v>250</v>
      </c>
      <c r="E285" t="s">
        <v>47</v>
      </c>
      <c r="F285" t="s">
        <v>52</v>
      </c>
    </row>
    <row r="286" spans="1:6" x14ac:dyDescent="0.35">
      <c r="A286" s="2">
        <v>45473</v>
      </c>
      <c r="B286" t="s">
        <v>9</v>
      </c>
      <c r="C286" t="s">
        <v>22</v>
      </c>
      <c r="D286">
        <v>33</v>
      </c>
      <c r="E286" t="s">
        <v>47</v>
      </c>
      <c r="F286" t="s">
        <v>51</v>
      </c>
    </row>
    <row r="287" spans="1:6" x14ac:dyDescent="0.35">
      <c r="A287" s="2">
        <v>45473</v>
      </c>
      <c r="B287" t="s">
        <v>13</v>
      </c>
      <c r="C287" t="s">
        <v>27</v>
      </c>
      <c r="D287">
        <v>219</v>
      </c>
      <c r="E287" t="s">
        <v>47</v>
      </c>
      <c r="F287" t="s">
        <v>51</v>
      </c>
    </row>
    <row r="288" spans="1:6" x14ac:dyDescent="0.35">
      <c r="A288" s="2">
        <v>45474</v>
      </c>
      <c r="B288" t="s">
        <v>18</v>
      </c>
      <c r="C288" t="s">
        <v>44</v>
      </c>
      <c r="D288">
        <v>2589</v>
      </c>
      <c r="E288" t="s">
        <v>48</v>
      </c>
      <c r="F288" t="s">
        <v>50</v>
      </c>
    </row>
    <row r="289" spans="1:6" x14ac:dyDescent="0.35">
      <c r="A289" s="2">
        <v>45474</v>
      </c>
      <c r="B289" t="s">
        <v>8</v>
      </c>
      <c r="C289" t="s">
        <v>21</v>
      </c>
      <c r="D289">
        <v>21</v>
      </c>
      <c r="E289" t="s">
        <v>47</v>
      </c>
      <c r="F289" t="s">
        <v>51</v>
      </c>
    </row>
    <row r="290" spans="1:6" x14ac:dyDescent="0.35">
      <c r="A290" s="2">
        <v>45475</v>
      </c>
      <c r="B290" t="s">
        <v>12</v>
      </c>
      <c r="C290" t="s">
        <v>35</v>
      </c>
      <c r="D290">
        <v>366</v>
      </c>
      <c r="E290" t="s">
        <v>47</v>
      </c>
      <c r="F290" t="s">
        <v>52</v>
      </c>
    </row>
    <row r="291" spans="1:6" x14ac:dyDescent="0.35">
      <c r="A291" s="2">
        <v>45475</v>
      </c>
      <c r="B291" t="s">
        <v>7</v>
      </c>
      <c r="C291" t="s">
        <v>43</v>
      </c>
      <c r="D291">
        <v>317</v>
      </c>
      <c r="E291" t="s">
        <v>47</v>
      </c>
      <c r="F291" t="s">
        <v>49</v>
      </c>
    </row>
    <row r="292" spans="1:6" x14ac:dyDescent="0.35">
      <c r="A292" s="2">
        <v>45476</v>
      </c>
      <c r="B292" t="s">
        <v>13</v>
      </c>
      <c r="C292" t="s">
        <v>27</v>
      </c>
      <c r="D292">
        <v>272</v>
      </c>
      <c r="E292" t="s">
        <v>47</v>
      </c>
      <c r="F292" t="s">
        <v>51</v>
      </c>
    </row>
    <row r="293" spans="1:6" x14ac:dyDescent="0.35">
      <c r="A293" s="2">
        <v>45476</v>
      </c>
      <c r="B293" t="s">
        <v>10</v>
      </c>
      <c r="C293" t="s">
        <v>23</v>
      </c>
      <c r="D293">
        <v>459</v>
      </c>
      <c r="E293" t="s">
        <v>47</v>
      </c>
      <c r="F293" t="s">
        <v>52</v>
      </c>
    </row>
    <row r="294" spans="1:6" x14ac:dyDescent="0.35">
      <c r="A294" s="2">
        <v>45477</v>
      </c>
      <c r="B294" t="s">
        <v>7</v>
      </c>
      <c r="C294" t="s">
        <v>20</v>
      </c>
      <c r="D294">
        <v>126</v>
      </c>
      <c r="E294" t="s">
        <v>47</v>
      </c>
      <c r="F294" t="s">
        <v>52</v>
      </c>
    </row>
    <row r="295" spans="1:6" x14ac:dyDescent="0.35">
      <c r="A295" s="2">
        <v>45477</v>
      </c>
      <c r="B295" t="s">
        <v>13</v>
      </c>
      <c r="C295" t="s">
        <v>27</v>
      </c>
      <c r="D295">
        <v>314</v>
      </c>
      <c r="E295" t="s">
        <v>47</v>
      </c>
      <c r="F295" t="s">
        <v>49</v>
      </c>
    </row>
    <row r="296" spans="1:6" x14ac:dyDescent="0.35">
      <c r="A296" s="2">
        <v>45478</v>
      </c>
      <c r="B296" t="s">
        <v>14</v>
      </c>
      <c r="C296" t="s">
        <v>41</v>
      </c>
      <c r="D296">
        <v>286</v>
      </c>
      <c r="E296" t="s">
        <v>47</v>
      </c>
      <c r="F296" t="s">
        <v>51</v>
      </c>
    </row>
    <row r="297" spans="1:6" x14ac:dyDescent="0.35">
      <c r="A297" s="2">
        <v>45479</v>
      </c>
      <c r="B297" t="s">
        <v>14</v>
      </c>
      <c r="C297" t="s">
        <v>36</v>
      </c>
      <c r="D297">
        <v>191</v>
      </c>
      <c r="E297" t="s">
        <v>47</v>
      </c>
      <c r="F297" t="s">
        <v>49</v>
      </c>
    </row>
    <row r="298" spans="1:6" x14ac:dyDescent="0.35">
      <c r="A298" s="2">
        <v>45479</v>
      </c>
      <c r="B298" t="s">
        <v>6</v>
      </c>
      <c r="C298" t="s">
        <v>19</v>
      </c>
      <c r="D298">
        <v>314</v>
      </c>
      <c r="E298" t="s">
        <v>47</v>
      </c>
      <c r="F298" t="s">
        <v>52</v>
      </c>
    </row>
    <row r="299" spans="1:6" x14ac:dyDescent="0.35">
      <c r="A299" s="2">
        <v>45480</v>
      </c>
      <c r="B299" t="s">
        <v>8</v>
      </c>
      <c r="C299" t="s">
        <v>21</v>
      </c>
      <c r="D299">
        <v>73</v>
      </c>
      <c r="E299" t="s">
        <v>47</v>
      </c>
      <c r="F299" t="s">
        <v>50</v>
      </c>
    </row>
    <row r="300" spans="1:6" x14ac:dyDescent="0.35">
      <c r="A300" s="2">
        <v>45480</v>
      </c>
      <c r="B300" t="s">
        <v>17</v>
      </c>
      <c r="C300" t="s">
        <v>40</v>
      </c>
      <c r="D300">
        <v>40</v>
      </c>
      <c r="E300" t="s">
        <v>47</v>
      </c>
      <c r="F300" t="s">
        <v>49</v>
      </c>
    </row>
    <row r="301" spans="1:6" x14ac:dyDescent="0.35">
      <c r="A301" s="2">
        <v>45481</v>
      </c>
      <c r="B301" t="s">
        <v>14</v>
      </c>
      <c r="C301" t="s">
        <v>41</v>
      </c>
      <c r="D301">
        <v>341</v>
      </c>
      <c r="E301" t="s">
        <v>47</v>
      </c>
      <c r="F301" t="s">
        <v>52</v>
      </c>
    </row>
    <row r="302" spans="1:6" x14ac:dyDescent="0.35">
      <c r="A302" s="2">
        <v>45482</v>
      </c>
      <c r="B302" t="s">
        <v>13</v>
      </c>
      <c r="C302" t="s">
        <v>27</v>
      </c>
      <c r="D302">
        <v>205</v>
      </c>
      <c r="E302" t="s">
        <v>47</v>
      </c>
      <c r="F302" t="s">
        <v>52</v>
      </c>
    </row>
    <row r="303" spans="1:6" x14ac:dyDescent="0.35">
      <c r="A303" s="2">
        <v>45483</v>
      </c>
      <c r="B303" t="s">
        <v>10</v>
      </c>
      <c r="C303" t="s">
        <v>33</v>
      </c>
      <c r="D303">
        <v>21</v>
      </c>
      <c r="E303" t="s">
        <v>47</v>
      </c>
      <c r="F303" t="s">
        <v>51</v>
      </c>
    </row>
    <row r="304" spans="1:6" x14ac:dyDescent="0.35">
      <c r="A304" s="2">
        <v>45484</v>
      </c>
      <c r="B304" t="s">
        <v>6</v>
      </c>
      <c r="C304" t="s">
        <v>28</v>
      </c>
      <c r="D304">
        <v>29</v>
      </c>
      <c r="E304" t="s">
        <v>47</v>
      </c>
      <c r="F304" t="s">
        <v>49</v>
      </c>
    </row>
    <row r="305" spans="1:6" x14ac:dyDescent="0.35">
      <c r="A305" s="2">
        <v>45485</v>
      </c>
      <c r="B305" t="s">
        <v>18</v>
      </c>
      <c r="C305" t="s">
        <v>46</v>
      </c>
      <c r="D305">
        <v>607</v>
      </c>
      <c r="E305" t="s">
        <v>48</v>
      </c>
      <c r="F305" t="s">
        <v>50</v>
      </c>
    </row>
    <row r="306" spans="1:6" x14ac:dyDescent="0.35">
      <c r="A306" s="2">
        <v>45485</v>
      </c>
      <c r="B306" t="s">
        <v>8</v>
      </c>
      <c r="C306" t="s">
        <v>21</v>
      </c>
      <c r="D306">
        <v>16</v>
      </c>
      <c r="E306" t="s">
        <v>47</v>
      </c>
      <c r="F306" t="s">
        <v>49</v>
      </c>
    </row>
    <row r="307" spans="1:6" x14ac:dyDescent="0.35">
      <c r="A307" s="2">
        <v>45486</v>
      </c>
      <c r="B307" t="s">
        <v>17</v>
      </c>
      <c r="C307" t="s">
        <v>37</v>
      </c>
      <c r="D307">
        <v>21</v>
      </c>
      <c r="E307" t="s">
        <v>47</v>
      </c>
      <c r="F307" t="s">
        <v>52</v>
      </c>
    </row>
    <row r="308" spans="1:6" x14ac:dyDescent="0.35">
      <c r="A308" s="2">
        <v>45487</v>
      </c>
      <c r="B308" t="s">
        <v>6</v>
      </c>
      <c r="C308" t="s">
        <v>19</v>
      </c>
      <c r="D308">
        <v>268</v>
      </c>
      <c r="E308" t="s">
        <v>47</v>
      </c>
      <c r="F308" t="s">
        <v>49</v>
      </c>
    </row>
    <row r="309" spans="1:6" x14ac:dyDescent="0.35">
      <c r="A309" s="2">
        <v>45488</v>
      </c>
      <c r="B309" t="s">
        <v>7</v>
      </c>
      <c r="C309" t="s">
        <v>20</v>
      </c>
      <c r="D309">
        <v>468</v>
      </c>
      <c r="E309" t="s">
        <v>47</v>
      </c>
      <c r="F309" t="s">
        <v>52</v>
      </c>
    </row>
    <row r="310" spans="1:6" x14ac:dyDescent="0.35">
      <c r="A310" s="2">
        <v>45489</v>
      </c>
      <c r="B310" t="s">
        <v>10</v>
      </c>
      <c r="C310" t="s">
        <v>33</v>
      </c>
      <c r="D310">
        <v>147</v>
      </c>
      <c r="E310" t="s">
        <v>47</v>
      </c>
      <c r="F310" t="s">
        <v>49</v>
      </c>
    </row>
    <row r="311" spans="1:6" x14ac:dyDescent="0.35">
      <c r="A311" s="2">
        <v>45489</v>
      </c>
      <c r="B311" t="s">
        <v>9</v>
      </c>
      <c r="C311" t="s">
        <v>26</v>
      </c>
      <c r="D311">
        <v>369</v>
      </c>
      <c r="E311" t="s">
        <v>47</v>
      </c>
      <c r="F311" t="s">
        <v>52</v>
      </c>
    </row>
    <row r="312" spans="1:6" x14ac:dyDescent="0.35">
      <c r="A312" s="2">
        <v>45490</v>
      </c>
      <c r="B312" t="s">
        <v>18</v>
      </c>
      <c r="C312" t="s">
        <v>44</v>
      </c>
      <c r="D312">
        <v>1210</v>
      </c>
      <c r="E312" t="s">
        <v>48</v>
      </c>
      <c r="F312" t="s">
        <v>51</v>
      </c>
    </row>
    <row r="313" spans="1:6" x14ac:dyDescent="0.35">
      <c r="A313" s="2">
        <v>45490</v>
      </c>
      <c r="B313" t="s">
        <v>9</v>
      </c>
      <c r="C313" t="s">
        <v>26</v>
      </c>
      <c r="D313">
        <v>90</v>
      </c>
      <c r="E313" t="s">
        <v>47</v>
      </c>
      <c r="F313" t="s">
        <v>52</v>
      </c>
    </row>
    <row r="314" spans="1:6" x14ac:dyDescent="0.35">
      <c r="A314" s="2">
        <v>45491</v>
      </c>
      <c r="B314" t="s">
        <v>7</v>
      </c>
      <c r="C314" t="s">
        <v>43</v>
      </c>
      <c r="D314">
        <v>141</v>
      </c>
      <c r="E314" t="s">
        <v>47</v>
      </c>
      <c r="F314" t="s">
        <v>49</v>
      </c>
    </row>
    <row r="315" spans="1:6" x14ac:dyDescent="0.35">
      <c r="A315" s="2">
        <v>45492</v>
      </c>
      <c r="B315" t="s">
        <v>12</v>
      </c>
      <c r="C315" t="s">
        <v>35</v>
      </c>
      <c r="D315">
        <v>86</v>
      </c>
      <c r="E315" t="s">
        <v>47</v>
      </c>
      <c r="F315" t="s">
        <v>49</v>
      </c>
    </row>
    <row r="316" spans="1:6" x14ac:dyDescent="0.35">
      <c r="A316" s="2">
        <v>45492</v>
      </c>
      <c r="B316" t="s">
        <v>14</v>
      </c>
      <c r="C316" t="s">
        <v>41</v>
      </c>
      <c r="D316">
        <v>487</v>
      </c>
      <c r="E316" t="s">
        <v>47</v>
      </c>
      <c r="F316" t="s">
        <v>52</v>
      </c>
    </row>
    <row r="317" spans="1:6" x14ac:dyDescent="0.35">
      <c r="A317" s="2">
        <v>45493</v>
      </c>
      <c r="B317" t="s">
        <v>17</v>
      </c>
      <c r="C317" t="s">
        <v>40</v>
      </c>
      <c r="D317">
        <v>163</v>
      </c>
      <c r="E317" t="s">
        <v>47</v>
      </c>
      <c r="F317" t="s">
        <v>50</v>
      </c>
    </row>
    <row r="318" spans="1:6" x14ac:dyDescent="0.35">
      <c r="A318" s="2">
        <v>45494</v>
      </c>
      <c r="B318" t="s">
        <v>13</v>
      </c>
      <c r="C318" t="s">
        <v>27</v>
      </c>
      <c r="D318">
        <v>135</v>
      </c>
      <c r="E318" t="s">
        <v>47</v>
      </c>
      <c r="F318" t="s">
        <v>51</v>
      </c>
    </row>
    <row r="319" spans="1:6" x14ac:dyDescent="0.35">
      <c r="A319" s="2">
        <v>45494</v>
      </c>
      <c r="B319" t="s">
        <v>6</v>
      </c>
      <c r="C319" t="s">
        <v>28</v>
      </c>
      <c r="D319">
        <v>187</v>
      </c>
      <c r="E319" t="s">
        <v>47</v>
      </c>
      <c r="F319" t="s">
        <v>49</v>
      </c>
    </row>
    <row r="320" spans="1:6" x14ac:dyDescent="0.35">
      <c r="A320" s="2">
        <v>45495</v>
      </c>
      <c r="B320" t="s">
        <v>16</v>
      </c>
      <c r="C320" t="s">
        <v>45</v>
      </c>
      <c r="D320">
        <v>3044</v>
      </c>
      <c r="E320" t="s">
        <v>48</v>
      </c>
      <c r="F320" t="s">
        <v>50</v>
      </c>
    </row>
    <row r="321" spans="1:6" x14ac:dyDescent="0.35">
      <c r="A321" s="2">
        <v>45495</v>
      </c>
      <c r="B321" t="s">
        <v>8</v>
      </c>
      <c r="C321" t="s">
        <v>34</v>
      </c>
      <c r="D321">
        <v>401</v>
      </c>
      <c r="E321" t="s">
        <v>47</v>
      </c>
      <c r="F321" t="s">
        <v>52</v>
      </c>
    </row>
    <row r="322" spans="1:6" x14ac:dyDescent="0.35">
      <c r="A322" s="2">
        <v>45496</v>
      </c>
      <c r="B322" t="s">
        <v>9</v>
      </c>
      <c r="C322" t="s">
        <v>22</v>
      </c>
      <c r="D322">
        <v>386</v>
      </c>
      <c r="E322" t="s">
        <v>47</v>
      </c>
      <c r="F322" t="s">
        <v>52</v>
      </c>
    </row>
    <row r="323" spans="1:6" x14ac:dyDescent="0.35">
      <c r="A323" s="2">
        <v>45497</v>
      </c>
      <c r="B323" t="s">
        <v>18</v>
      </c>
      <c r="C323" t="s">
        <v>44</v>
      </c>
      <c r="D323">
        <v>2961</v>
      </c>
      <c r="E323" t="s">
        <v>48</v>
      </c>
      <c r="F323" t="s">
        <v>49</v>
      </c>
    </row>
    <row r="324" spans="1:6" x14ac:dyDescent="0.35">
      <c r="A324" s="2">
        <v>45497</v>
      </c>
      <c r="B324" t="s">
        <v>13</v>
      </c>
      <c r="C324" t="s">
        <v>27</v>
      </c>
      <c r="D324">
        <v>420</v>
      </c>
      <c r="E324" t="s">
        <v>47</v>
      </c>
      <c r="F324" t="s">
        <v>50</v>
      </c>
    </row>
    <row r="325" spans="1:6" x14ac:dyDescent="0.35">
      <c r="A325" s="2">
        <v>45498</v>
      </c>
      <c r="B325" t="s">
        <v>14</v>
      </c>
      <c r="C325" t="s">
        <v>36</v>
      </c>
      <c r="D325">
        <v>450</v>
      </c>
      <c r="E325" t="s">
        <v>47</v>
      </c>
      <c r="F325" t="s">
        <v>51</v>
      </c>
    </row>
    <row r="326" spans="1:6" x14ac:dyDescent="0.35">
      <c r="A326" s="2">
        <v>45499</v>
      </c>
      <c r="B326" t="s">
        <v>10</v>
      </c>
      <c r="C326" t="s">
        <v>33</v>
      </c>
      <c r="D326">
        <v>444</v>
      </c>
      <c r="E326" t="s">
        <v>47</v>
      </c>
      <c r="F326" t="s">
        <v>50</v>
      </c>
    </row>
    <row r="327" spans="1:6" x14ac:dyDescent="0.35">
      <c r="A327" s="2">
        <v>45500</v>
      </c>
      <c r="B327" t="s">
        <v>10</v>
      </c>
      <c r="C327" t="s">
        <v>23</v>
      </c>
      <c r="D327">
        <v>363</v>
      </c>
      <c r="E327" t="s">
        <v>47</v>
      </c>
      <c r="F327" t="s">
        <v>50</v>
      </c>
    </row>
    <row r="328" spans="1:6" x14ac:dyDescent="0.35">
      <c r="A328" s="2">
        <v>45500</v>
      </c>
      <c r="B328" t="s">
        <v>7</v>
      </c>
      <c r="C328" t="s">
        <v>39</v>
      </c>
      <c r="D328">
        <v>482</v>
      </c>
      <c r="E328" t="s">
        <v>47</v>
      </c>
      <c r="F328" t="s">
        <v>51</v>
      </c>
    </row>
    <row r="329" spans="1:6" x14ac:dyDescent="0.35">
      <c r="A329" s="2">
        <v>45501</v>
      </c>
      <c r="B329" t="s">
        <v>6</v>
      </c>
      <c r="C329" t="s">
        <v>28</v>
      </c>
      <c r="D329">
        <v>328</v>
      </c>
      <c r="E329" t="s">
        <v>47</v>
      </c>
      <c r="F329" t="s">
        <v>52</v>
      </c>
    </row>
    <row r="330" spans="1:6" x14ac:dyDescent="0.35">
      <c r="A330" s="2">
        <v>45501</v>
      </c>
      <c r="B330" t="s">
        <v>7</v>
      </c>
      <c r="C330" t="s">
        <v>39</v>
      </c>
      <c r="D330">
        <v>436</v>
      </c>
      <c r="E330" t="s">
        <v>47</v>
      </c>
      <c r="F330" t="s">
        <v>51</v>
      </c>
    </row>
    <row r="331" spans="1:6" x14ac:dyDescent="0.35">
      <c r="A331" s="2">
        <v>45502</v>
      </c>
      <c r="B331" t="s">
        <v>10</v>
      </c>
      <c r="C331" t="s">
        <v>23</v>
      </c>
      <c r="D331">
        <v>309</v>
      </c>
      <c r="E331" t="s">
        <v>47</v>
      </c>
      <c r="F331" t="s">
        <v>51</v>
      </c>
    </row>
    <row r="332" spans="1:6" x14ac:dyDescent="0.35">
      <c r="A332" s="2">
        <v>45503</v>
      </c>
      <c r="B332" t="s">
        <v>9</v>
      </c>
      <c r="C332" t="s">
        <v>26</v>
      </c>
      <c r="D332">
        <v>65</v>
      </c>
      <c r="E332" t="s">
        <v>47</v>
      </c>
      <c r="F332" t="s">
        <v>51</v>
      </c>
    </row>
    <row r="333" spans="1:6" x14ac:dyDescent="0.35">
      <c r="A333" s="2">
        <v>45503</v>
      </c>
      <c r="B333" t="s">
        <v>8</v>
      </c>
      <c r="C333" t="s">
        <v>34</v>
      </c>
      <c r="D333">
        <v>444</v>
      </c>
      <c r="E333" t="s">
        <v>47</v>
      </c>
      <c r="F333" t="s">
        <v>49</v>
      </c>
    </row>
    <row r="334" spans="1:6" x14ac:dyDescent="0.35">
      <c r="A334" s="2">
        <v>45504</v>
      </c>
      <c r="B334" t="s">
        <v>13</v>
      </c>
      <c r="C334" t="s">
        <v>27</v>
      </c>
      <c r="D334">
        <v>157</v>
      </c>
      <c r="E334" t="s">
        <v>47</v>
      </c>
      <c r="F334" t="s">
        <v>49</v>
      </c>
    </row>
    <row r="335" spans="1:6" x14ac:dyDescent="0.35">
      <c r="A335" s="2">
        <v>45505</v>
      </c>
      <c r="B335" t="s">
        <v>6</v>
      </c>
      <c r="C335" t="s">
        <v>28</v>
      </c>
      <c r="D335">
        <v>353</v>
      </c>
      <c r="E335" t="s">
        <v>47</v>
      </c>
      <c r="F335" t="s">
        <v>49</v>
      </c>
    </row>
    <row r="336" spans="1:6" x14ac:dyDescent="0.35">
      <c r="A336" s="2">
        <v>45506</v>
      </c>
      <c r="B336" t="s">
        <v>9</v>
      </c>
      <c r="C336" t="s">
        <v>26</v>
      </c>
      <c r="D336">
        <v>230</v>
      </c>
      <c r="E336" t="s">
        <v>47</v>
      </c>
      <c r="F336" t="s">
        <v>51</v>
      </c>
    </row>
    <row r="337" spans="1:6" x14ac:dyDescent="0.35">
      <c r="A337" s="2">
        <v>45507</v>
      </c>
      <c r="B337" t="s">
        <v>9</v>
      </c>
      <c r="C337" t="s">
        <v>26</v>
      </c>
      <c r="D337">
        <v>380</v>
      </c>
      <c r="E337" t="s">
        <v>47</v>
      </c>
      <c r="F337" t="s">
        <v>52</v>
      </c>
    </row>
    <row r="338" spans="1:6" x14ac:dyDescent="0.35">
      <c r="A338" s="2">
        <v>45508</v>
      </c>
      <c r="B338" t="s">
        <v>12</v>
      </c>
      <c r="C338" t="s">
        <v>35</v>
      </c>
      <c r="D338">
        <v>13</v>
      </c>
      <c r="E338" t="s">
        <v>47</v>
      </c>
      <c r="F338" t="s">
        <v>49</v>
      </c>
    </row>
    <row r="339" spans="1:6" x14ac:dyDescent="0.35">
      <c r="A339" s="2">
        <v>45508</v>
      </c>
      <c r="B339" t="s">
        <v>14</v>
      </c>
      <c r="C339" t="s">
        <v>29</v>
      </c>
      <c r="D339">
        <v>245</v>
      </c>
      <c r="E339" t="s">
        <v>47</v>
      </c>
      <c r="F339" t="s">
        <v>51</v>
      </c>
    </row>
    <row r="340" spans="1:6" x14ac:dyDescent="0.35">
      <c r="A340" s="2">
        <v>45509</v>
      </c>
      <c r="B340" t="s">
        <v>13</v>
      </c>
      <c r="C340" t="s">
        <v>27</v>
      </c>
      <c r="D340">
        <v>342</v>
      </c>
      <c r="E340" t="s">
        <v>47</v>
      </c>
      <c r="F340" t="s">
        <v>52</v>
      </c>
    </row>
    <row r="341" spans="1:6" x14ac:dyDescent="0.35">
      <c r="A341" s="2">
        <v>45510</v>
      </c>
      <c r="B341" t="s">
        <v>11</v>
      </c>
      <c r="C341" t="s">
        <v>42</v>
      </c>
      <c r="D341">
        <v>273</v>
      </c>
      <c r="E341" t="s">
        <v>47</v>
      </c>
      <c r="F341" t="s">
        <v>50</v>
      </c>
    </row>
    <row r="342" spans="1:6" x14ac:dyDescent="0.35">
      <c r="A342" s="2">
        <v>45511</v>
      </c>
      <c r="B342" t="s">
        <v>10</v>
      </c>
      <c r="C342" t="s">
        <v>33</v>
      </c>
      <c r="D342">
        <v>402</v>
      </c>
      <c r="E342" t="s">
        <v>47</v>
      </c>
      <c r="F342" t="s">
        <v>51</v>
      </c>
    </row>
    <row r="343" spans="1:6" x14ac:dyDescent="0.35">
      <c r="A343" s="2">
        <v>45512</v>
      </c>
      <c r="B343" t="s">
        <v>6</v>
      </c>
      <c r="C343" t="s">
        <v>19</v>
      </c>
      <c r="D343">
        <v>127</v>
      </c>
      <c r="E343" t="s">
        <v>47</v>
      </c>
      <c r="F343" t="s">
        <v>50</v>
      </c>
    </row>
    <row r="344" spans="1:6" x14ac:dyDescent="0.35">
      <c r="A344" s="2">
        <v>45513</v>
      </c>
      <c r="B344" t="s">
        <v>10</v>
      </c>
      <c r="C344" t="s">
        <v>33</v>
      </c>
      <c r="D344">
        <v>336</v>
      </c>
      <c r="E344" t="s">
        <v>47</v>
      </c>
      <c r="F344" t="s">
        <v>52</v>
      </c>
    </row>
    <row r="345" spans="1:6" x14ac:dyDescent="0.35">
      <c r="A345" s="2">
        <v>45514</v>
      </c>
      <c r="B345" t="s">
        <v>10</v>
      </c>
      <c r="C345" t="s">
        <v>23</v>
      </c>
      <c r="D345">
        <v>399</v>
      </c>
      <c r="E345" t="s">
        <v>47</v>
      </c>
      <c r="F345" t="s">
        <v>49</v>
      </c>
    </row>
    <row r="346" spans="1:6" x14ac:dyDescent="0.35">
      <c r="A346" s="2">
        <v>45514</v>
      </c>
      <c r="B346" t="s">
        <v>13</v>
      </c>
      <c r="C346" t="s">
        <v>27</v>
      </c>
      <c r="D346">
        <v>476</v>
      </c>
      <c r="E346" t="s">
        <v>47</v>
      </c>
      <c r="F346" t="s">
        <v>50</v>
      </c>
    </row>
    <row r="347" spans="1:6" x14ac:dyDescent="0.35">
      <c r="A347" s="2">
        <v>45515</v>
      </c>
      <c r="B347" t="s">
        <v>7</v>
      </c>
      <c r="C347" t="s">
        <v>20</v>
      </c>
      <c r="D347">
        <v>406</v>
      </c>
      <c r="E347" t="s">
        <v>47</v>
      </c>
      <c r="F347" t="s">
        <v>52</v>
      </c>
    </row>
    <row r="348" spans="1:6" x14ac:dyDescent="0.35">
      <c r="A348" s="2">
        <v>45515</v>
      </c>
      <c r="B348" t="s">
        <v>7</v>
      </c>
      <c r="C348" t="s">
        <v>39</v>
      </c>
      <c r="D348">
        <v>288</v>
      </c>
      <c r="E348" t="s">
        <v>47</v>
      </c>
      <c r="F348" t="s">
        <v>51</v>
      </c>
    </row>
    <row r="349" spans="1:6" x14ac:dyDescent="0.35">
      <c r="A349" s="2">
        <v>45516</v>
      </c>
      <c r="B349" t="s">
        <v>6</v>
      </c>
      <c r="C349" t="s">
        <v>19</v>
      </c>
      <c r="D349">
        <v>228</v>
      </c>
      <c r="E349" t="s">
        <v>47</v>
      </c>
      <c r="F349" t="s">
        <v>52</v>
      </c>
    </row>
    <row r="350" spans="1:6" x14ac:dyDescent="0.35">
      <c r="A350" s="2">
        <v>45516</v>
      </c>
      <c r="B350" t="s">
        <v>11</v>
      </c>
      <c r="C350" t="s">
        <v>42</v>
      </c>
      <c r="D350">
        <v>327</v>
      </c>
      <c r="E350" t="s">
        <v>47</v>
      </c>
      <c r="F350" t="s">
        <v>50</v>
      </c>
    </row>
    <row r="351" spans="1:6" x14ac:dyDescent="0.35">
      <c r="A351" s="2">
        <v>45517</v>
      </c>
      <c r="B351" t="s">
        <v>17</v>
      </c>
      <c r="C351" t="s">
        <v>40</v>
      </c>
      <c r="D351">
        <v>220</v>
      </c>
      <c r="E351" t="s">
        <v>47</v>
      </c>
      <c r="F351" t="s">
        <v>49</v>
      </c>
    </row>
    <row r="352" spans="1:6" x14ac:dyDescent="0.35">
      <c r="A352" s="2">
        <v>45517</v>
      </c>
      <c r="B352" t="s">
        <v>6</v>
      </c>
      <c r="C352" t="s">
        <v>28</v>
      </c>
      <c r="D352">
        <v>357</v>
      </c>
      <c r="E352" t="s">
        <v>47</v>
      </c>
      <c r="F352" t="s">
        <v>49</v>
      </c>
    </row>
    <row r="353" spans="1:6" x14ac:dyDescent="0.35">
      <c r="A353" s="2">
        <v>45518</v>
      </c>
      <c r="B353" t="s">
        <v>10</v>
      </c>
      <c r="C353" t="s">
        <v>23</v>
      </c>
      <c r="D353">
        <v>174</v>
      </c>
      <c r="E353" t="s">
        <v>47</v>
      </c>
      <c r="F353" t="s">
        <v>50</v>
      </c>
    </row>
    <row r="354" spans="1:6" x14ac:dyDescent="0.35">
      <c r="A354" s="2">
        <v>45519</v>
      </c>
      <c r="B354" t="s">
        <v>12</v>
      </c>
      <c r="C354" t="s">
        <v>35</v>
      </c>
      <c r="D354">
        <v>239</v>
      </c>
      <c r="E354" t="s">
        <v>47</v>
      </c>
      <c r="F354" t="s">
        <v>51</v>
      </c>
    </row>
    <row r="355" spans="1:6" x14ac:dyDescent="0.35">
      <c r="A355" s="2">
        <v>45519</v>
      </c>
      <c r="B355" t="s">
        <v>9</v>
      </c>
      <c r="C355" t="s">
        <v>26</v>
      </c>
      <c r="D355">
        <v>35</v>
      </c>
      <c r="E355" t="s">
        <v>47</v>
      </c>
      <c r="F355" t="s">
        <v>49</v>
      </c>
    </row>
    <row r="356" spans="1:6" x14ac:dyDescent="0.35">
      <c r="A356" s="2">
        <v>45520</v>
      </c>
      <c r="B356" t="s">
        <v>16</v>
      </c>
      <c r="C356" t="s">
        <v>31</v>
      </c>
      <c r="D356">
        <v>2074</v>
      </c>
      <c r="E356" t="s">
        <v>48</v>
      </c>
      <c r="F356" t="s">
        <v>49</v>
      </c>
    </row>
    <row r="357" spans="1:6" x14ac:dyDescent="0.35">
      <c r="A357" s="2">
        <v>45520</v>
      </c>
      <c r="B357" t="s">
        <v>14</v>
      </c>
      <c r="C357" t="s">
        <v>29</v>
      </c>
      <c r="D357">
        <v>210</v>
      </c>
      <c r="E357" t="s">
        <v>47</v>
      </c>
      <c r="F357" t="s">
        <v>51</v>
      </c>
    </row>
    <row r="358" spans="1:6" x14ac:dyDescent="0.35">
      <c r="A358" s="2">
        <v>45520</v>
      </c>
      <c r="B358" t="s">
        <v>12</v>
      </c>
      <c r="C358" t="s">
        <v>25</v>
      </c>
      <c r="D358">
        <v>228</v>
      </c>
      <c r="E358" t="s">
        <v>47</v>
      </c>
      <c r="F358" t="s">
        <v>51</v>
      </c>
    </row>
    <row r="359" spans="1:6" x14ac:dyDescent="0.35">
      <c r="A359" s="2">
        <v>45521</v>
      </c>
      <c r="B359" t="s">
        <v>10</v>
      </c>
      <c r="C359" t="s">
        <v>23</v>
      </c>
      <c r="D359">
        <v>364</v>
      </c>
      <c r="E359" t="s">
        <v>47</v>
      </c>
      <c r="F359" t="s">
        <v>49</v>
      </c>
    </row>
    <row r="360" spans="1:6" x14ac:dyDescent="0.35">
      <c r="A360" s="2">
        <v>45522</v>
      </c>
      <c r="B360" t="s">
        <v>6</v>
      </c>
      <c r="C360" t="s">
        <v>19</v>
      </c>
      <c r="D360">
        <v>167</v>
      </c>
      <c r="E360" t="s">
        <v>47</v>
      </c>
      <c r="F360" t="s">
        <v>50</v>
      </c>
    </row>
    <row r="361" spans="1:6" x14ac:dyDescent="0.35">
      <c r="A361" s="2">
        <v>45522</v>
      </c>
      <c r="B361" t="s">
        <v>8</v>
      </c>
      <c r="C361" t="s">
        <v>34</v>
      </c>
      <c r="D361">
        <v>418</v>
      </c>
      <c r="E361" t="s">
        <v>47</v>
      </c>
      <c r="F361" t="s">
        <v>49</v>
      </c>
    </row>
    <row r="362" spans="1:6" x14ac:dyDescent="0.35">
      <c r="A362" s="2">
        <v>45523</v>
      </c>
      <c r="B362" t="s">
        <v>13</v>
      </c>
      <c r="C362" t="s">
        <v>27</v>
      </c>
      <c r="D362">
        <v>323</v>
      </c>
      <c r="E362" t="s">
        <v>47</v>
      </c>
      <c r="F362" t="s">
        <v>50</v>
      </c>
    </row>
    <row r="363" spans="1:6" x14ac:dyDescent="0.35">
      <c r="A363" s="2">
        <v>45523</v>
      </c>
      <c r="B363" t="s">
        <v>7</v>
      </c>
      <c r="C363" t="s">
        <v>39</v>
      </c>
      <c r="D363">
        <v>282</v>
      </c>
      <c r="E363" t="s">
        <v>47</v>
      </c>
      <c r="F363" t="s">
        <v>50</v>
      </c>
    </row>
    <row r="364" spans="1:6" x14ac:dyDescent="0.35">
      <c r="A364" s="2">
        <v>45524</v>
      </c>
      <c r="B364" t="s">
        <v>13</v>
      </c>
      <c r="C364" t="s">
        <v>27</v>
      </c>
      <c r="D364">
        <v>328</v>
      </c>
      <c r="E364" t="s">
        <v>47</v>
      </c>
      <c r="F364" t="s">
        <v>49</v>
      </c>
    </row>
    <row r="365" spans="1:6" x14ac:dyDescent="0.35">
      <c r="A365" s="2">
        <v>45524</v>
      </c>
      <c r="B365" t="s">
        <v>17</v>
      </c>
      <c r="C365" t="s">
        <v>40</v>
      </c>
      <c r="D365">
        <v>410</v>
      </c>
      <c r="E365" t="s">
        <v>47</v>
      </c>
      <c r="F365" t="s">
        <v>51</v>
      </c>
    </row>
    <row r="366" spans="1:6" x14ac:dyDescent="0.35">
      <c r="A366" s="2">
        <v>45525</v>
      </c>
      <c r="B366" t="s">
        <v>8</v>
      </c>
      <c r="C366" t="s">
        <v>21</v>
      </c>
      <c r="D366">
        <v>124</v>
      </c>
      <c r="E366" t="s">
        <v>47</v>
      </c>
      <c r="F366" t="s">
        <v>49</v>
      </c>
    </row>
    <row r="367" spans="1:6" x14ac:dyDescent="0.35">
      <c r="A367" s="2">
        <v>45526</v>
      </c>
      <c r="B367" t="s">
        <v>14</v>
      </c>
      <c r="C367" t="s">
        <v>41</v>
      </c>
      <c r="D367">
        <v>231</v>
      </c>
      <c r="E367" t="s">
        <v>47</v>
      </c>
      <c r="F367" t="s">
        <v>50</v>
      </c>
    </row>
    <row r="368" spans="1:6" x14ac:dyDescent="0.35">
      <c r="A368" s="2">
        <v>45526</v>
      </c>
      <c r="B368" t="s">
        <v>12</v>
      </c>
      <c r="C368" t="s">
        <v>35</v>
      </c>
      <c r="D368">
        <v>399</v>
      </c>
      <c r="E368" t="s">
        <v>47</v>
      </c>
      <c r="F368" t="s">
        <v>51</v>
      </c>
    </row>
    <row r="369" spans="1:6" x14ac:dyDescent="0.35">
      <c r="A369" s="2">
        <v>45527</v>
      </c>
      <c r="B369" t="s">
        <v>11</v>
      </c>
      <c r="C369" t="s">
        <v>24</v>
      </c>
      <c r="D369">
        <v>62</v>
      </c>
      <c r="E369" t="s">
        <v>47</v>
      </c>
      <c r="F369" t="s">
        <v>49</v>
      </c>
    </row>
    <row r="370" spans="1:6" x14ac:dyDescent="0.35">
      <c r="A370" s="2">
        <v>45528</v>
      </c>
      <c r="B370" t="s">
        <v>13</v>
      </c>
      <c r="C370" t="s">
        <v>27</v>
      </c>
      <c r="D370">
        <v>289</v>
      </c>
      <c r="E370" t="s">
        <v>47</v>
      </c>
      <c r="F370" t="s">
        <v>50</v>
      </c>
    </row>
    <row r="371" spans="1:6" x14ac:dyDescent="0.35">
      <c r="A371" s="2">
        <v>45528</v>
      </c>
      <c r="B371" t="s">
        <v>17</v>
      </c>
      <c r="C371" t="s">
        <v>37</v>
      </c>
      <c r="D371">
        <v>401</v>
      </c>
      <c r="E371" t="s">
        <v>47</v>
      </c>
      <c r="F371" t="s">
        <v>51</v>
      </c>
    </row>
    <row r="372" spans="1:6" x14ac:dyDescent="0.35">
      <c r="A372" s="2">
        <v>45529</v>
      </c>
      <c r="B372" t="s">
        <v>14</v>
      </c>
      <c r="C372" t="s">
        <v>29</v>
      </c>
      <c r="D372">
        <v>179</v>
      </c>
      <c r="E372" t="s">
        <v>47</v>
      </c>
      <c r="F372" t="s">
        <v>52</v>
      </c>
    </row>
    <row r="373" spans="1:6" x14ac:dyDescent="0.35">
      <c r="A373" s="2">
        <v>45530</v>
      </c>
      <c r="B373" t="s">
        <v>11</v>
      </c>
      <c r="C373" t="s">
        <v>32</v>
      </c>
      <c r="D373">
        <v>386</v>
      </c>
      <c r="E373" t="s">
        <v>47</v>
      </c>
      <c r="F373" t="s">
        <v>50</v>
      </c>
    </row>
    <row r="374" spans="1:6" x14ac:dyDescent="0.35">
      <c r="A374" s="2">
        <v>45531</v>
      </c>
      <c r="B374" t="s">
        <v>15</v>
      </c>
      <c r="C374" t="s">
        <v>38</v>
      </c>
      <c r="D374">
        <v>2850</v>
      </c>
      <c r="E374" t="s">
        <v>48</v>
      </c>
      <c r="F374" t="s">
        <v>50</v>
      </c>
    </row>
    <row r="375" spans="1:6" x14ac:dyDescent="0.35">
      <c r="A375" s="2">
        <v>45531</v>
      </c>
      <c r="B375" t="s">
        <v>14</v>
      </c>
      <c r="C375" t="s">
        <v>29</v>
      </c>
      <c r="D375">
        <v>151</v>
      </c>
      <c r="E375" t="s">
        <v>47</v>
      </c>
      <c r="F375" t="s">
        <v>51</v>
      </c>
    </row>
    <row r="376" spans="1:6" x14ac:dyDescent="0.35">
      <c r="A376" s="2">
        <v>45532</v>
      </c>
      <c r="B376" t="s">
        <v>17</v>
      </c>
      <c r="C376" t="s">
        <v>40</v>
      </c>
      <c r="D376">
        <v>384</v>
      </c>
      <c r="E376" t="s">
        <v>47</v>
      </c>
      <c r="F376" t="s">
        <v>52</v>
      </c>
    </row>
    <row r="377" spans="1:6" x14ac:dyDescent="0.35">
      <c r="A377" s="2">
        <v>45533</v>
      </c>
      <c r="B377" t="s">
        <v>11</v>
      </c>
      <c r="C377" t="s">
        <v>32</v>
      </c>
      <c r="D377">
        <v>285</v>
      </c>
      <c r="E377" t="s">
        <v>47</v>
      </c>
      <c r="F377" t="s">
        <v>50</v>
      </c>
    </row>
    <row r="378" spans="1:6" x14ac:dyDescent="0.35">
      <c r="A378" s="2">
        <v>45534</v>
      </c>
      <c r="B378" t="s">
        <v>6</v>
      </c>
      <c r="C378" t="s">
        <v>28</v>
      </c>
      <c r="D378">
        <v>434</v>
      </c>
      <c r="E378" t="s">
        <v>47</v>
      </c>
      <c r="F378" t="s">
        <v>51</v>
      </c>
    </row>
    <row r="379" spans="1:6" x14ac:dyDescent="0.35">
      <c r="A379" s="2">
        <v>45535</v>
      </c>
      <c r="B379" t="s">
        <v>6</v>
      </c>
      <c r="C379" t="s">
        <v>19</v>
      </c>
      <c r="D379">
        <v>31</v>
      </c>
      <c r="E379" t="s">
        <v>47</v>
      </c>
      <c r="F379" t="s">
        <v>52</v>
      </c>
    </row>
    <row r="380" spans="1:6" x14ac:dyDescent="0.35">
      <c r="A380" s="2">
        <v>45536</v>
      </c>
      <c r="B380" t="s">
        <v>11</v>
      </c>
      <c r="C380" t="s">
        <v>32</v>
      </c>
      <c r="D380">
        <v>452</v>
      </c>
      <c r="E380" t="s">
        <v>47</v>
      </c>
      <c r="F380" t="s">
        <v>50</v>
      </c>
    </row>
    <row r="381" spans="1:6" x14ac:dyDescent="0.35">
      <c r="A381" s="2">
        <v>45537</v>
      </c>
      <c r="B381" t="s">
        <v>18</v>
      </c>
      <c r="C381" t="s">
        <v>46</v>
      </c>
      <c r="D381">
        <v>3463</v>
      </c>
      <c r="E381" t="s">
        <v>48</v>
      </c>
      <c r="F381" t="s">
        <v>52</v>
      </c>
    </row>
    <row r="382" spans="1:6" x14ac:dyDescent="0.35">
      <c r="A382" s="2">
        <v>45537</v>
      </c>
      <c r="B382" t="s">
        <v>10</v>
      </c>
      <c r="C382" t="s">
        <v>33</v>
      </c>
      <c r="D382">
        <v>210</v>
      </c>
      <c r="E382" t="s">
        <v>47</v>
      </c>
      <c r="F382" t="s">
        <v>49</v>
      </c>
    </row>
    <row r="383" spans="1:6" x14ac:dyDescent="0.35">
      <c r="A383" s="2">
        <v>45538</v>
      </c>
      <c r="B383" t="s">
        <v>14</v>
      </c>
      <c r="C383" t="s">
        <v>36</v>
      </c>
      <c r="D383">
        <v>170</v>
      </c>
      <c r="E383" t="s">
        <v>47</v>
      </c>
      <c r="F383" t="s">
        <v>50</v>
      </c>
    </row>
    <row r="384" spans="1:6" x14ac:dyDescent="0.35">
      <c r="A384" s="2">
        <v>45538</v>
      </c>
      <c r="B384" t="s">
        <v>10</v>
      </c>
      <c r="C384" t="s">
        <v>33</v>
      </c>
      <c r="D384">
        <v>323</v>
      </c>
      <c r="E384" t="s">
        <v>47</v>
      </c>
      <c r="F384" t="s">
        <v>52</v>
      </c>
    </row>
    <row r="385" spans="1:6" x14ac:dyDescent="0.35">
      <c r="A385" s="2">
        <v>45539</v>
      </c>
      <c r="B385" t="s">
        <v>13</v>
      </c>
      <c r="C385" t="s">
        <v>27</v>
      </c>
      <c r="D385">
        <v>348</v>
      </c>
      <c r="E385" t="s">
        <v>47</v>
      </c>
      <c r="F385" t="s">
        <v>50</v>
      </c>
    </row>
    <row r="386" spans="1:6" x14ac:dyDescent="0.35">
      <c r="A386" s="2">
        <v>45540</v>
      </c>
      <c r="B386" t="s">
        <v>17</v>
      </c>
      <c r="C386" t="s">
        <v>40</v>
      </c>
      <c r="D386">
        <v>281</v>
      </c>
      <c r="E386" t="s">
        <v>47</v>
      </c>
      <c r="F386" t="s">
        <v>52</v>
      </c>
    </row>
    <row r="387" spans="1:6" x14ac:dyDescent="0.35">
      <c r="A387" s="2">
        <v>45541</v>
      </c>
      <c r="B387" t="s">
        <v>8</v>
      </c>
      <c r="C387" t="s">
        <v>21</v>
      </c>
      <c r="D387">
        <v>15</v>
      </c>
      <c r="E387" t="s">
        <v>47</v>
      </c>
      <c r="F387" t="s">
        <v>51</v>
      </c>
    </row>
    <row r="388" spans="1:6" x14ac:dyDescent="0.35">
      <c r="A388" s="2">
        <v>45541</v>
      </c>
      <c r="B388" t="s">
        <v>10</v>
      </c>
      <c r="C388" t="s">
        <v>23</v>
      </c>
      <c r="D388">
        <v>106</v>
      </c>
      <c r="E388" t="s">
        <v>47</v>
      </c>
      <c r="F388" t="s">
        <v>51</v>
      </c>
    </row>
    <row r="389" spans="1:6" x14ac:dyDescent="0.35">
      <c r="A389" s="2">
        <v>45542</v>
      </c>
      <c r="B389" t="s">
        <v>18</v>
      </c>
      <c r="C389" t="s">
        <v>46</v>
      </c>
      <c r="D389">
        <v>1611</v>
      </c>
      <c r="E389" t="s">
        <v>48</v>
      </c>
      <c r="F389" t="s">
        <v>51</v>
      </c>
    </row>
    <row r="390" spans="1:6" x14ac:dyDescent="0.35">
      <c r="A390" s="2">
        <v>45542</v>
      </c>
      <c r="B390" t="s">
        <v>10</v>
      </c>
      <c r="C390" t="s">
        <v>33</v>
      </c>
      <c r="D390">
        <v>164</v>
      </c>
      <c r="E390" t="s">
        <v>47</v>
      </c>
      <c r="F390" t="s">
        <v>49</v>
      </c>
    </row>
    <row r="391" spans="1:6" x14ac:dyDescent="0.35">
      <c r="A391" s="2">
        <v>45543</v>
      </c>
      <c r="B391" t="s">
        <v>14</v>
      </c>
      <c r="C391" t="s">
        <v>36</v>
      </c>
      <c r="D391">
        <v>206</v>
      </c>
      <c r="E391" t="s">
        <v>47</v>
      </c>
      <c r="F391" t="s">
        <v>50</v>
      </c>
    </row>
    <row r="392" spans="1:6" x14ac:dyDescent="0.35">
      <c r="A392" s="2">
        <v>45543</v>
      </c>
      <c r="B392" t="s">
        <v>13</v>
      </c>
      <c r="C392" t="s">
        <v>27</v>
      </c>
      <c r="D392">
        <v>357</v>
      </c>
      <c r="E392" t="s">
        <v>47</v>
      </c>
      <c r="F392" t="s">
        <v>52</v>
      </c>
    </row>
    <row r="393" spans="1:6" x14ac:dyDescent="0.35">
      <c r="A393" s="2">
        <v>45544</v>
      </c>
      <c r="B393" t="s">
        <v>17</v>
      </c>
      <c r="C393" t="s">
        <v>37</v>
      </c>
      <c r="D393">
        <v>120</v>
      </c>
      <c r="E393" t="s">
        <v>47</v>
      </c>
      <c r="F393" t="s">
        <v>52</v>
      </c>
    </row>
    <row r="394" spans="1:6" x14ac:dyDescent="0.35">
      <c r="A394" s="2">
        <v>45545</v>
      </c>
      <c r="B394" t="s">
        <v>8</v>
      </c>
      <c r="C394" t="s">
        <v>34</v>
      </c>
      <c r="D394">
        <v>94</v>
      </c>
      <c r="E394" t="s">
        <v>47</v>
      </c>
      <c r="F394" t="s">
        <v>52</v>
      </c>
    </row>
    <row r="395" spans="1:6" x14ac:dyDescent="0.35">
      <c r="A395" s="2">
        <v>45545</v>
      </c>
      <c r="B395" t="s">
        <v>9</v>
      </c>
      <c r="C395" t="s">
        <v>22</v>
      </c>
      <c r="D395">
        <v>147</v>
      </c>
      <c r="E395" t="s">
        <v>47</v>
      </c>
      <c r="F395" t="s">
        <v>52</v>
      </c>
    </row>
    <row r="396" spans="1:6" x14ac:dyDescent="0.35">
      <c r="A396" s="2">
        <v>45546</v>
      </c>
      <c r="B396" t="s">
        <v>15</v>
      </c>
      <c r="C396" t="s">
        <v>30</v>
      </c>
      <c r="D396">
        <v>2494</v>
      </c>
      <c r="E396" t="s">
        <v>48</v>
      </c>
      <c r="F396" t="s">
        <v>51</v>
      </c>
    </row>
    <row r="397" spans="1:6" x14ac:dyDescent="0.35">
      <c r="A397" s="2">
        <v>45546</v>
      </c>
      <c r="B397" t="s">
        <v>8</v>
      </c>
      <c r="C397" t="s">
        <v>34</v>
      </c>
      <c r="D397">
        <v>266</v>
      </c>
      <c r="E397" t="s">
        <v>47</v>
      </c>
      <c r="F397" t="s">
        <v>51</v>
      </c>
    </row>
    <row r="398" spans="1:6" x14ac:dyDescent="0.35">
      <c r="A398" s="2">
        <v>45547</v>
      </c>
      <c r="B398" t="s">
        <v>15</v>
      </c>
      <c r="C398" t="s">
        <v>30</v>
      </c>
      <c r="D398">
        <v>1215</v>
      </c>
      <c r="E398" t="s">
        <v>48</v>
      </c>
      <c r="F398" t="s">
        <v>50</v>
      </c>
    </row>
    <row r="399" spans="1:6" x14ac:dyDescent="0.35">
      <c r="A399" s="2">
        <v>45547</v>
      </c>
      <c r="B399" t="s">
        <v>13</v>
      </c>
      <c r="C399" t="s">
        <v>27</v>
      </c>
      <c r="D399">
        <v>352</v>
      </c>
      <c r="E399" t="s">
        <v>47</v>
      </c>
      <c r="F399" t="s">
        <v>52</v>
      </c>
    </row>
    <row r="400" spans="1:6" x14ac:dyDescent="0.35">
      <c r="A400" s="2">
        <v>45547</v>
      </c>
      <c r="B400" t="s">
        <v>14</v>
      </c>
      <c r="C400" t="s">
        <v>29</v>
      </c>
      <c r="D400">
        <v>115</v>
      </c>
      <c r="E400" t="s">
        <v>47</v>
      </c>
      <c r="F400" t="s">
        <v>49</v>
      </c>
    </row>
    <row r="401" spans="1:6" x14ac:dyDescent="0.35">
      <c r="A401" s="2">
        <v>45548</v>
      </c>
      <c r="B401" t="s">
        <v>14</v>
      </c>
      <c r="C401" t="s">
        <v>29</v>
      </c>
      <c r="D401">
        <v>318</v>
      </c>
      <c r="E401" t="s">
        <v>47</v>
      </c>
      <c r="F401" t="s">
        <v>52</v>
      </c>
    </row>
    <row r="402" spans="1:6" x14ac:dyDescent="0.35">
      <c r="A402" s="2">
        <v>45549</v>
      </c>
      <c r="B402" t="s">
        <v>10</v>
      </c>
      <c r="C402" t="s">
        <v>33</v>
      </c>
      <c r="D402">
        <v>366</v>
      </c>
      <c r="E402" t="s">
        <v>47</v>
      </c>
      <c r="F402" t="s">
        <v>52</v>
      </c>
    </row>
    <row r="403" spans="1:6" x14ac:dyDescent="0.35">
      <c r="A403" s="2">
        <v>45550</v>
      </c>
      <c r="B403" t="s">
        <v>12</v>
      </c>
      <c r="C403" t="s">
        <v>25</v>
      </c>
      <c r="D403">
        <v>401</v>
      </c>
      <c r="E403" t="s">
        <v>47</v>
      </c>
      <c r="F403" t="s">
        <v>51</v>
      </c>
    </row>
    <row r="404" spans="1:6" x14ac:dyDescent="0.35">
      <c r="A404" s="2">
        <v>45550</v>
      </c>
      <c r="B404" t="s">
        <v>11</v>
      </c>
      <c r="C404" t="s">
        <v>42</v>
      </c>
      <c r="D404">
        <v>151</v>
      </c>
      <c r="E404" t="s">
        <v>47</v>
      </c>
      <c r="F404" t="s">
        <v>49</v>
      </c>
    </row>
    <row r="405" spans="1:6" x14ac:dyDescent="0.35">
      <c r="A405" s="2">
        <v>45551</v>
      </c>
      <c r="B405" t="s">
        <v>6</v>
      </c>
      <c r="C405" t="s">
        <v>19</v>
      </c>
      <c r="D405">
        <v>123</v>
      </c>
      <c r="E405" t="s">
        <v>47</v>
      </c>
      <c r="F405" t="s">
        <v>51</v>
      </c>
    </row>
    <row r="406" spans="1:6" x14ac:dyDescent="0.35">
      <c r="A406" s="2">
        <v>45552</v>
      </c>
      <c r="B406" t="s">
        <v>13</v>
      </c>
      <c r="C406" t="s">
        <v>27</v>
      </c>
      <c r="D406">
        <v>458</v>
      </c>
      <c r="E406" t="s">
        <v>47</v>
      </c>
      <c r="F406" t="s">
        <v>52</v>
      </c>
    </row>
    <row r="407" spans="1:6" x14ac:dyDescent="0.35">
      <c r="A407" s="2">
        <v>45553</v>
      </c>
      <c r="B407" t="s">
        <v>6</v>
      </c>
      <c r="C407" t="s">
        <v>19</v>
      </c>
      <c r="D407">
        <v>63</v>
      </c>
      <c r="E407" t="s">
        <v>47</v>
      </c>
      <c r="F407" t="s">
        <v>49</v>
      </c>
    </row>
    <row r="408" spans="1:6" x14ac:dyDescent="0.35">
      <c r="A408" s="2">
        <v>45554</v>
      </c>
      <c r="B408" t="s">
        <v>11</v>
      </c>
      <c r="C408" t="s">
        <v>32</v>
      </c>
      <c r="D408">
        <v>97</v>
      </c>
      <c r="E408" t="s">
        <v>47</v>
      </c>
      <c r="F408" t="s">
        <v>52</v>
      </c>
    </row>
    <row r="409" spans="1:6" x14ac:dyDescent="0.35">
      <c r="A409" s="2">
        <v>45555</v>
      </c>
      <c r="B409" t="s">
        <v>15</v>
      </c>
      <c r="C409" t="s">
        <v>38</v>
      </c>
      <c r="D409">
        <v>1855</v>
      </c>
      <c r="E409" t="s">
        <v>48</v>
      </c>
      <c r="F409" t="s">
        <v>51</v>
      </c>
    </row>
    <row r="410" spans="1:6" x14ac:dyDescent="0.35">
      <c r="A410" s="2">
        <v>45555</v>
      </c>
      <c r="B410" t="s">
        <v>7</v>
      </c>
      <c r="C410" t="s">
        <v>43</v>
      </c>
      <c r="D410">
        <v>446</v>
      </c>
      <c r="E410" t="s">
        <v>47</v>
      </c>
      <c r="F410" t="s">
        <v>51</v>
      </c>
    </row>
    <row r="411" spans="1:6" x14ac:dyDescent="0.35">
      <c r="A411" s="2">
        <v>45555</v>
      </c>
      <c r="B411" t="s">
        <v>6</v>
      </c>
      <c r="C411" t="s">
        <v>28</v>
      </c>
      <c r="D411">
        <v>297</v>
      </c>
      <c r="E411" t="s">
        <v>47</v>
      </c>
      <c r="F411" t="s">
        <v>50</v>
      </c>
    </row>
    <row r="412" spans="1:6" x14ac:dyDescent="0.35">
      <c r="A412" s="2">
        <v>45556</v>
      </c>
      <c r="B412" t="s">
        <v>14</v>
      </c>
      <c r="C412" t="s">
        <v>29</v>
      </c>
      <c r="D412">
        <v>181</v>
      </c>
      <c r="E412" t="s">
        <v>47</v>
      </c>
      <c r="F412" t="s">
        <v>49</v>
      </c>
    </row>
    <row r="413" spans="1:6" x14ac:dyDescent="0.35">
      <c r="A413" s="2">
        <v>45556</v>
      </c>
      <c r="B413" t="s">
        <v>10</v>
      </c>
      <c r="C413" t="s">
        <v>33</v>
      </c>
      <c r="D413">
        <v>254</v>
      </c>
      <c r="E413" t="s">
        <v>47</v>
      </c>
      <c r="F413" t="s">
        <v>51</v>
      </c>
    </row>
    <row r="414" spans="1:6" x14ac:dyDescent="0.35">
      <c r="A414" s="2">
        <v>45557</v>
      </c>
      <c r="B414" t="s">
        <v>13</v>
      </c>
      <c r="C414" t="s">
        <v>27</v>
      </c>
      <c r="D414">
        <v>339</v>
      </c>
      <c r="E414" t="s">
        <v>47</v>
      </c>
      <c r="F414" t="s">
        <v>52</v>
      </c>
    </row>
    <row r="415" spans="1:6" x14ac:dyDescent="0.35">
      <c r="A415" s="2">
        <v>45557</v>
      </c>
      <c r="B415" t="s">
        <v>14</v>
      </c>
      <c r="C415" t="s">
        <v>29</v>
      </c>
      <c r="D415">
        <v>299</v>
      </c>
      <c r="E415" t="s">
        <v>47</v>
      </c>
      <c r="F415" t="s">
        <v>52</v>
      </c>
    </row>
    <row r="416" spans="1:6" x14ac:dyDescent="0.35">
      <c r="A416" s="2">
        <v>45558</v>
      </c>
      <c r="B416" t="s">
        <v>8</v>
      </c>
      <c r="C416" t="s">
        <v>34</v>
      </c>
      <c r="D416">
        <v>272</v>
      </c>
      <c r="E416" t="s">
        <v>47</v>
      </c>
      <c r="F416" t="s">
        <v>49</v>
      </c>
    </row>
    <row r="417" spans="1:6" x14ac:dyDescent="0.35">
      <c r="A417" s="2">
        <v>45558</v>
      </c>
      <c r="B417" t="s">
        <v>13</v>
      </c>
      <c r="C417" t="s">
        <v>27</v>
      </c>
      <c r="D417">
        <v>44</v>
      </c>
      <c r="E417" t="s">
        <v>47</v>
      </c>
      <c r="F417" t="s">
        <v>51</v>
      </c>
    </row>
    <row r="418" spans="1:6" x14ac:dyDescent="0.35">
      <c r="A418" s="2">
        <v>45559</v>
      </c>
      <c r="B418" t="s">
        <v>9</v>
      </c>
      <c r="C418" t="s">
        <v>22</v>
      </c>
      <c r="D418">
        <v>104</v>
      </c>
      <c r="E418" t="s">
        <v>47</v>
      </c>
      <c r="F418" t="s">
        <v>50</v>
      </c>
    </row>
    <row r="419" spans="1:6" x14ac:dyDescent="0.35">
      <c r="A419" s="2">
        <v>45560</v>
      </c>
      <c r="B419" t="s">
        <v>13</v>
      </c>
      <c r="C419" t="s">
        <v>27</v>
      </c>
      <c r="D419">
        <v>379</v>
      </c>
      <c r="E419" t="s">
        <v>47</v>
      </c>
      <c r="F419" t="s">
        <v>51</v>
      </c>
    </row>
    <row r="420" spans="1:6" x14ac:dyDescent="0.35">
      <c r="A420" s="2">
        <v>45560</v>
      </c>
      <c r="B420" t="s">
        <v>7</v>
      </c>
      <c r="C420" t="s">
        <v>20</v>
      </c>
      <c r="D420">
        <v>497</v>
      </c>
      <c r="E420" t="s">
        <v>47</v>
      </c>
      <c r="F420" t="s">
        <v>51</v>
      </c>
    </row>
    <row r="421" spans="1:6" x14ac:dyDescent="0.35">
      <c r="A421" s="2">
        <v>45561</v>
      </c>
      <c r="B421" t="s">
        <v>6</v>
      </c>
      <c r="C421" t="s">
        <v>19</v>
      </c>
      <c r="D421">
        <v>477</v>
      </c>
      <c r="E421" t="s">
        <v>47</v>
      </c>
      <c r="F421" t="s">
        <v>50</v>
      </c>
    </row>
    <row r="422" spans="1:6" x14ac:dyDescent="0.35">
      <c r="A422" s="2">
        <v>45561</v>
      </c>
      <c r="B422" t="s">
        <v>13</v>
      </c>
      <c r="C422" t="s">
        <v>27</v>
      </c>
      <c r="D422">
        <v>235</v>
      </c>
      <c r="E422" t="s">
        <v>47</v>
      </c>
      <c r="F422" t="s">
        <v>52</v>
      </c>
    </row>
    <row r="423" spans="1:6" x14ac:dyDescent="0.35">
      <c r="A423" s="2">
        <v>45562</v>
      </c>
      <c r="B423" t="s">
        <v>10</v>
      </c>
      <c r="C423" t="s">
        <v>33</v>
      </c>
      <c r="D423">
        <v>70</v>
      </c>
      <c r="E423" t="s">
        <v>47</v>
      </c>
      <c r="F423" t="s">
        <v>49</v>
      </c>
    </row>
    <row r="424" spans="1:6" x14ac:dyDescent="0.35">
      <c r="A424" s="2">
        <v>45563</v>
      </c>
      <c r="B424" t="s">
        <v>17</v>
      </c>
      <c r="C424" t="s">
        <v>40</v>
      </c>
      <c r="D424">
        <v>464</v>
      </c>
      <c r="E424" t="s">
        <v>47</v>
      </c>
      <c r="F424" t="s">
        <v>50</v>
      </c>
    </row>
    <row r="425" spans="1:6" x14ac:dyDescent="0.35">
      <c r="A425" s="2">
        <v>45564</v>
      </c>
      <c r="B425" t="s">
        <v>9</v>
      </c>
      <c r="C425" t="s">
        <v>26</v>
      </c>
      <c r="D425">
        <v>122</v>
      </c>
      <c r="E425" t="s">
        <v>47</v>
      </c>
      <c r="F425" t="s">
        <v>52</v>
      </c>
    </row>
    <row r="426" spans="1:6" x14ac:dyDescent="0.35">
      <c r="A426" s="2">
        <v>45565</v>
      </c>
      <c r="B426" t="s">
        <v>9</v>
      </c>
      <c r="C426" t="s">
        <v>22</v>
      </c>
      <c r="D426">
        <v>354</v>
      </c>
      <c r="E426" t="s">
        <v>47</v>
      </c>
      <c r="F426" t="s">
        <v>51</v>
      </c>
    </row>
    <row r="427" spans="1:6" x14ac:dyDescent="0.35">
      <c r="A427" s="2">
        <v>45566</v>
      </c>
      <c r="B427" t="s">
        <v>6</v>
      </c>
      <c r="C427" t="s">
        <v>19</v>
      </c>
      <c r="D427">
        <v>464</v>
      </c>
      <c r="E427" t="s">
        <v>47</v>
      </c>
      <c r="F427" t="s">
        <v>51</v>
      </c>
    </row>
    <row r="428" spans="1:6" x14ac:dyDescent="0.35">
      <c r="A428" s="2">
        <v>45566</v>
      </c>
      <c r="B428" t="s">
        <v>10</v>
      </c>
      <c r="C428" t="s">
        <v>33</v>
      </c>
      <c r="D428">
        <v>378</v>
      </c>
      <c r="E428" t="s">
        <v>47</v>
      </c>
      <c r="F428" t="s">
        <v>50</v>
      </c>
    </row>
    <row r="429" spans="1:6" x14ac:dyDescent="0.35">
      <c r="A429" s="2">
        <v>45567</v>
      </c>
      <c r="B429" t="s">
        <v>7</v>
      </c>
      <c r="C429" t="s">
        <v>43</v>
      </c>
      <c r="D429">
        <v>489</v>
      </c>
      <c r="E429" t="s">
        <v>47</v>
      </c>
      <c r="F429" t="s">
        <v>50</v>
      </c>
    </row>
    <row r="430" spans="1:6" x14ac:dyDescent="0.35">
      <c r="A430" s="2">
        <v>45568</v>
      </c>
      <c r="B430" t="s">
        <v>6</v>
      </c>
      <c r="C430" t="s">
        <v>28</v>
      </c>
      <c r="D430">
        <v>316</v>
      </c>
      <c r="E430" t="s">
        <v>47</v>
      </c>
      <c r="F430" t="s">
        <v>50</v>
      </c>
    </row>
    <row r="431" spans="1:6" x14ac:dyDescent="0.35">
      <c r="A431" s="2">
        <v>45569</v>
      </c>
      <c r="B431" t="s">
        <v>14</v>
      </c>
      <c r="C431" t="s">
        <v>29</v>
      </c>
      <c r="D431">
        <v>338</v>
      </c>
      <c r="E431" t="s">
        <v>47</v>
      </c>
      <c r="F431" t="s">
        <v>52</v>
      </c>
    </row>
    <row r="432" spans="1:6" x14ac:dyDescent="0.35">
      <c r="A432" s="2">
        <v>45569</v>
      </c>
      <c r="B432" t="s">
        <v>10</v>
      </c>
      <c r="C432" t="s">
        <v>23</v>
      </c>
      <c r="D432">
        <v>297</v>
      </c>
      <c r="E432" t="s">
        <v>47</v>
      </c>
      <c r="F432" t="s">
        <v>50</v>
      </c>
    </row>
    <row r="433" spans="1:6" x14ac:dyDescent="0.35">
      <c r="A433" s="2">
        <v>45570</v>
      </c>
      <c r="B433" t="s">
        <v>15</v>
      </c>
      <c r="C433" t="s">
        <v>38</v>
      </c>
      <c r="D433">
        <v>1558</v>
      </c>
      <c r="E433" t="s">
        <v>48</v>
      </c>
      <c r="F433" t="s">
        <v>52</v>
      </c>
    </row>
    <row r="434" spans="1:6" x14ac:dyDescent="0.35">
      <c r="A434" s="2">
        <v>45570</v>
      </c>
      <c r="B434" t="s">
        <v>7</v>
      </c>
      <c r="C434" t="s">
        <v>43</v>
      </c>
      <c r="D434">
        <v>329</v>
      </c>
      <c r="E434" t="s">
        <v>47</v>
      </c>
      <c r="F434" t="s">
        <v>51</v>
      </c>
    </row>
    <row r="435" spans="1:6" x14ac:dyDescent="0.35">
      <c r="A435" s="2">
        <v>45571</v>
      </c>
      <c r="B435" t="s">
        <v>9</v>
      </c>
      <c r="C435" t="s">
        <v>22</v>
      </c>
      <c r="D435">
        <v>185</v>
      </c>
      <c r="E435" t="s">
        <v>47</v>
      </c>
      <c r="F435" t="s">
        <v>52</v>
      </c>
    </row>
    <row r="436" spans="1:6" x14ac:dyDescent="0.35">
      <c r="A436" s="2">
        <v>45571</v>
      </c>
      <c r="B436" t="s">
        <v>6</v>
      </c>
      <c r="C436" t="s">
        <v>19</v>
      </c>
      <c r="D436">
        <v>303</v>
      </c>
      <c r="E436" t="s">
        <v>47</v>
      </c>
      <c r="F436" t="s">
        <v>52</v>
      </c>
    </row>
    <row r="437" spans="1:6" x14ac:dyDescent="0.35">
      <c r="A437" s="2">
        <v>45572</v>
      </c>
      <c r="B437" t="s">
        <v>10</v>
      </c>
      <c r="C437" t="s">
        <v>23</v>
      </c>
      <c r="D437">
        <v>227</v>
      </c>
      <c r="E437" t="s">
        <v>47</v>
      </c>
      <c r="F437" t="s">
        <v>50</v>
      </c>
    </row>
    <row r="438" spans="1:6" x14ac:dyDescent="0.35">
      <c r="A438" s="2">
        <v>45572</v>
      </c>
      <c r="B438" t="s">
        <v>13</v>
      </c>
      <c r="C438" t="s">
        <v>27</v>
      </c>
      <c r="D438">
        <v>411</v>
      </c>
      <c r="E438" t="s">
        <v>47</v>
      </c>
      <c r="F438" t="s">
        <v>50</v>
      </c>
    </row>
    <row r="439" spans="1:6" x14ac:dyDescent="0.35">
      <c r="A439" s="2">
        <v>45573</v>
      </c>
      <c r="B439" t="s">
        <v>14</v>
      </c>
      <c r="C439" t="s">
        <v>29</v>
      </c>
      <c r="D439">
        <v>238</v>
      </c>
      <c r="E439" t="s">
        <v>47</v>
      </c>
      <c r="F439" t="s">
        <v>50</v>
      </c>
    </row>
    <row r="440" spans="1:6" x14ac:dyDescent="0.35">
      <c r="A440" s="2">
        <v>45574</v>
      </c>
      <c r="B440" t="s">
        <v>7</v>
      </c>
      <c r="C440" t="s">
        <v>39</v>
      </c>
      <c r="D440">
        <v>268</v>
      </c>
      <c r="E440" t="s">
        <v>47</v>
      </c>
      <c r="F440" t="s">
        <v>51</v>
      </c>
    </row>
    <row r="441" spans="1:6" x14ac:dyDescent="0.35">
      <c r="A441" s="2">
        <v>45574</v>
      </c>
      <c r="B441" t="s">
        <v>8</v>
      </c>
      <c r="C441" t="s">
        <v>34</v>
      </c>
      <c r="D441">
        <v>499</v>
      </c>
      <c r="E441" t="s">
        <v>47</v>
      </c>
      <c r="F441" t="s">
        <v>52</v>
      </c>
    </row>
    <row r="442" spans="1:6" x14ac:dyDescent="0.35">
      <c r="A442" s="2">
        <v>45575</v>
      </c>
      <c r="B442" t="s">
        <v>12</v>
      </c>
      <c r="C442" t="s">
        <v>35</v>
      </c>
      <c r="D442">
        <v>222</v>
      </c>
      <c r="E442" t="s">
        <v>47</v>
      </c>
      <c r="F442" t="s">
        <v>49</v>
      </c>
    </row>
    <row r="443" spans="1:6" x14ac:dyDescent="0.35">
      <c r="A443" s="2">
        <v>45576</v>
      </c>
      <c r="B443" t="s">
        <v>13</v>
      </c>
      <c r="C443" t="s">
        <v>27</v>
      </c>
      <c r="D443">
        <v>149</v>
      </c>
      <c r="E443" t="s">
        <v>47</v>
      </c>
      <c r="F443" t="s">
        <v>52</v>
      </c>
    </row>
    <row r="444" spans="1:6" x14ac:dyDescent="0.35">
      <c r="A444" s="2">
        <v>45576</v>
      </c>
      <c r="B444" t="s">
        <v>6</v>
      </c>
      <c r="C444" t="s">
        <v>19</v>
      </c>
      <c r="D444">
        <v>236</v>
      </c>
      <c r="E444" t="s">
        <v>47</v>
      </c>
      <c r="F444" t="s">
        <v>51</v>
      </c>
    </row>
    <row r="445" spans="1:6" x14ac:dyDescent="0.35">
      <c r="A445" s="2">
        <v>45577</v>
      </c>
      <c r="B445" t="s">
        <v>15</v>
      </c>
      <c r="C445" t="s">
        <v>30</v>
      </c>
      <c r="D445">
        <v>2487</v>
      </c>
      <c r="E445" t="s">
        <v>48</v>
      </c>
      <c r="F445" t="s">
        <v>51</v>
      </c>
    </row>
    <row r="446" spans="1:6" x14ac:dyDescent="0.35">
      <c r="A446" s="2">
        <v>45577</v>
      </c>
      <c r="B446" t="s">
        <v>11</v>
      </c>
      <c r="C446" t="s">
        <v>24</v>
      </c>
      <c r="D446">
        <v>468</v>
      </c>
      <c r="E446" t="s">
        <v>47</v>
      </c>
      <c r="F446" t="s">
        <v>52</v>
      </c>
    </row>
    <row r="447" spans="1:6" x14ac:dyDescent="0.35">
      <c r="A447" s="2">
        <v>45578</v>
      </c>
      <c r="B447" t="s">
        <v>10</v>
      </c>
      <c r="C447" t="s">
        <v>33</v>
      </c>
      <c r="D447">
        <v>450</v>
      </c>
      <c r="E447" t="s">
        <v>47</v>
      </c>
      <c r="F447" t="s">
        <v>50</v>
      </c>
    </row>
    <row r="448" spans="1:6" x14ac:dyDescent="0.35">
      <c r="A448" s="2">
        <v>45579</v>
      </c>
      <c r="B448" t="s">
        <v>8</v>
      </c>
      <c r="C448" t="s">
        <v>34</v>
      </c>
      <c r="D448">
        <v>77</v>
      </c>
      <c r="E448" t="s">
        <v>47</v>
      </c>
      <c r="F448" t="s">
        <v>51</v>
      </c>
    </row>
    <row r="449" spans="1:6" x14ac:dyDescent="0.35">
      <c r="A449" s="2">
        <v>45579</v>
      </c>
      <c r="B449" t="s">
        <v>10</v>
      </c>
      <c r="C449" t="s">
        <v>23</v>
      </c>
      <c r="D449">
        <v>180</v>
      </c>
      <c r="E449" t="s">
        <v>47</v>
      </c>
      <c r="F449" t="s">
        <v>51</v>
      </c>
    </row>
    <row r="450" spans="1:6" x14ac:dyDescent="0.35">
      <c r="A450" s="2">
        <v>45580</v>
      </c>
      <c r="B450" t="s">
        <v>10</v>
      </c>
      <c r="C450" t="s">
        <v>23</v>
      </c>
      <c r="D450">
        <v>328</v>
      </c>
      <c r="E450" t="s">
        <v>47</v>
      </c>
      <c r="F450" t="s">
        <v>52</v>
      </c>
    </row>
    <row r="451" spans="1:6" x14ac:dyDescent="0.35">
      <c r="A451" s="2">
        <v>45581</v>
      </c>
      <c r="B451" t="s">
        <v>14</v>
      </c>
      <c r="C451" t="s">
        <v>29</v>
      </c>
      <c r="D451">
        <v>23</v>
      </c>
      <c r="E451" t="s">
        <v>47</v>
      </c>
      <c r="F451" t="s">
        <v>52</v>
      </c>
    </row>
    <row r="452" spans="1:6" x14ac:dyDescent="0.35">
      <c r="A452" s="2">
        <v>45581</v>
      </c>
      <c r="B452" t="s">
        <v>13</v>
      </c>
      <c r="C452" t="s">
        <v>27</v>
      </c>
      <c r="D452">
        <v>86</v>
      </c>
      <c r="E452" t="s">
        <v>47</v>
      </c>
      <c r="F452" t="s">
        <v>51</v>
      </c>
    </row>
    <row r="453" spans="1:6" x14ac:dyDescent="0.35">
      <c r="A453" s="2">
        <v>45582</v>
      </c>
      <c r="B453" t="s">
        <v>17</v>
      </c>
      <c r="C453" t="s">
        <v>40</v>
      </c>
      <c r="D453">
        <v>314</v>
      </c>
      <c r="E453" t="s">
        <v>47</v>
      </c>
      <c r="F453" t="s">
        <v>49</v>
      </c>
    </row>
    <row r="454" spans="1:6" x14ac:dyDescent="0.35">
      <c r="A454" s="2">
        <v>45583</v>
      </c>
      <c r="B454" t="s">
        <v>16</v>
      </c>
      <c r="C454" t="s">
        <v>31</v>
      </c>
      <c r="D454">
        <v>3647</v>
      </c>
      <c r="E454" t="s">
        <v>48</v>
      </c>
      <c r="F454" t="s">
        <v>52</v>
      </c>
    </row>
    <row r="455" spans="1:6" x14ac:dyDescent="0.35">
      <c r="A455" s="2">
        <v>45583</v>
      </c>
      <c r="B455" t="s">
        <v>7</v>
      </c>
      <c r="C455" t="s">
        <v>43</v>
      </c>
      <c r="D455">
        <v>320</v>
      </c>
      <c r="E455" t="s">
        <v>47</v>
      </c>
      <c r="F455" t="s">
        <v>51</v>
      </c>
    </row>
    <row r="456" spans="1:6" x14ac:dyDescent="0.35">
      <c r="A456" s="2">
        <v>45584</v>
      </c>
      <c r="B456" t="s">
        <v>17</v>
      </c>
      <c r="C456" t="s">
        <v>37</v>
      </c>
      <c r="D456">
        <v>432</v>
      </c>
      <c r="E456" t="s">
        <v>47</v>
      </c>
      <c r="F456" t="s">
        <v>52</v>
      </c>
    </row>
    <row r="457" spans="1:6" x14ac:dyDescent="0.35">
      <c r="A457" s="2">
        <v>45585</v>
      </c>
      <c r="B457" t="s">
        <v>16</v>
      </c>
      <c r="C457" t="s">
        <v>45</v>
      </c>
      <c r="D457">
        <v>3521</v>
      </c>
      <c r="E457" t="s">
        <v>48</v>
      </c>
      <c r="F457" t="s">
        <v>52</v>
      </c>
    </row>
    <row r="458" spans="1:6" x14ac:dyDescent="0.35">
      <c r="A458" s="2">
        <v>45585</v>
      </c>
      <c r="B458" t="s">
        <v>10</v>
      </c>
      <c r="C458" t="s">
        <v>23</v>
      </c>
      <c r="D458">
        <v>89</v>
      </c>
      <c r="E458" t="s">
        <v>47</v>
      </c>
      <c r="F458" t="s">
        <v>52</v>
      </c>
    </row>
    <row r="459" spans="1:6" x14ac:dyDescent="0.35">
      <c r="A459" s="2">
        <v>45585</v>
      </c>
      <c r="B459" t="s">
        <v>6</v>
      </c>
      <c r="C459" t="s">
        <v>28</v>
      </c>
      <c r="D459">
        <v>454</v>
      </c>
      <c r="E459" t="s">
        <v>47</v>
      </c>
      <c r="F459" t="s">
        <v>52</v>
      </c>
    </row>
    <row r="460" spans="1:6" x14ac:dyDescent="0.35">
      <c r="A460" s="2">
        <v>45586</v>
      </c>
      <c r="B460" t="s">
        <v>9</v>
      </c>
      <c r="C460" t="s">
        <v>26</v>
      </c>
      <c r="D460">
        <v>16</v>
      </c>
      <c r="E460" t="s">
        <v>47</v>
      </c>
      <c r="F460" t="s">
        <v>51</v>
      </c>
    </row>
    <row r="461" spans="1:6" x14ac:dyDescent="0.35">
      <c r="A461" s="2">
        <v>45587</v>
      </c>
      <c r="B461" t="s">
        <v>14</v>
      </c>
      <c r="C461" t="s">
        <v>41</v>
      </c>
      <c r="D461">
        <v>47</v>
      </c>
      <c r="E461" t="s">
        <v>47</v>
      </c>
      <c r="F461" t="s">
        <v>50</v>
      </c>
    </row>
    <row r="462" spans="1:6" x14ac:dyDescent="0.35">
      <c r="A462" s="2">
        <v>45588</v>
      </c>
      <c r="B462" t="s">
        <v>13</v>
      </c>
      <c r="C462" t="s">
        <v>27</v>
      </c>
      <c r="D462">
        <v>368</v>
      </c>
      <c r="E462" t="s">
        <v>47</v>
      </c>
      <c r="F462" t="s">
        <v>49</v>
      </c>
    </row>
    <row r="463" spans="1:6" x14ac:dyDescent="0.35">
      <c r="A463" s="2">
        <v>45588</v>
      </c>
      <c r="B463" t="s">
        <v>7</v>
      </c>
      <c r="C463" t="s">
        <v>43</v>
      </c>
      <c r="D463">
        <v>111</v>
      </c>
      <c r="E463" t="s">
        <v>47</v>
      </c>
      <c r="F463" t="s">
        <v>49</v>
      </c>
    </row>
    <row r="464" spans="1:6" x14ac:dyDescent="0.35">
      <c r="A464" s="2">
        <v>45589</v>
      </c>
      <c r="B464" t="s">
        <v>10</v>
      </c>
      <c r="C464" t="s">
        <v>33</v>
      </c>
      <c r="D464">
        <v>207</v>
      </c>
      <c r="E464" t="s">
        <v>47</v>
      </c>
      <c r="F464" t="s">
        <v>49</v>
      </c>
    </row>
    <row r="465" spans="1:6" x14ac:dyDescent="0.35">
      <c r="A465" s="2">
        <v>45590</v>
      </c>
      <c r="B465" t="s">
        <v>15</v>
      </c>
      <c r="C465" t="s">
        <v>38</v>
      </c>
      <c r="D465">
        <v>969</v>
      </c>
      <c r="E465" t="s">
        <v>48</v>
      </c>
      <c r="F465" t="s">
        <v>49</v>
      </c>
    </row>
    <row r="466" spans="1:6" x14ac:dyDescent="0.35">
      <c r="A466" s="2">
        <v>45590</v>
      </c>
      <c r="B466" t="s">
        <v>14</v>
      </c>
      <c r="C466" t="s">
        <v>36</v>
      </c>
      <c r="D466">
        <v>56</v>
      </c>
      <c r="E466" t="s">
        <v>47</v>
      </c>
      <c r="F466" t="s">
        <v>52</v>
      </c>
    </row>
    <row r="467" spans="1:6" x14ac:dyDescent="0.35">
      <c r="A467" s="2">
        <v>45590</v>
      </c>
      <c r="B467" t="s">
        <v>11</v>
      </c>
      <c r="C467" t="s">
        <v>42</v>
      </c>
      <c r="D467">
        <v>424</v>
      </c>
      <c r="E467" t="s">
        <v>47</v>
      </c>
      <c r="F467" t="s">
        <v>52</v>
      </c>
    </row>
    <row r="468" spans="1:6" x14ac:dyDescent="0.35">
      <c r="A468" s="2">
        <v>45591</v>
      </c>
      <c r="B468" t="s">
        <v>14</v>
      </c>
      <c r="C468" t="s">
        <v>29</v>
      </c>
      <c r="D468">
        <v>349</v>
      </c>
      <c r="E468" t="s">
        <v>47</v>
      </c>
      <c r="F468" t="s">
        <v>52</v>
      </c>
    </row>
    <row r="469" spans="1:6" x14ac:dyDescent="0.35">
      <c r="A469" s="2">
        <v>45592</v>
      </c>
      <c r="B469" t="s">
        <v>9</v>
      </c>
      <c r="C469" t="s">
        <v>26</v>
      </c>
      <c r="D469">
        <v>401</v>
      </c>
      <c r="E469" t="s">
        <v>47</v>
      </c>
      <c r="F469" t="s">
        <v>49</v>
      </c>
    </row>
    <row r="470" spans="1:6" x14ac:dyDescent="0.35">
      <c r="A470" s="2">
        <v>45593</v>
      </c>
      <c r="B470" t="s">
        <v>17</v>
      </c>
      <c r="C470" t="s">
        <v>40</v>
      </c>
      <c r="D470">
        <v>449</v>
      </c>
      <c r="E470" t="s">
        <v>47</v>
      </c>
      <c r="F470" t="s">
        <v>52</v>
      </c>
    </row>
    <row r="471" spans="1:6" x14ac:dyDescent="0.35">
      <c r="A471" s="2">
        <v>45593</v>
      </c>
      <c r="B471" t="s">
        <v>6</v>
      </c>
      <c r="C471" t="s">
        <v>28</v>
      </c>
      <c r="D471">
        <v>88</v>
      </c>
      <c r="E471" t="s">
        <v>47</v>
      </c>
      <c r="F471" t="s">
        <v>50</v>
      </c>
    </row>
    <row r="472" spans="1:6" x14ac:dyDescent="0.35">
      <c r="A472" s="2">
        <v>45594</v>
      </c>
      <c r="B472" t="s">
        <v>17</v>
      </c>
      <c r="C472" t="s">
        <v>40</v>
      </c>
      <c r="D472">
        <v>380</v>
      </c>
      <c r="E472" t="s">
        <v>47</v>
      </c>
      <c r="F472" t="s">
        <v>51</v>
      </c>
    </row>
    <row r="473" spans="1:6" x14ac:dyDescent="0.35">
      <c r="A473" s="2">
        <v>45594</v>
      </c>
      <c r="B473" t="s">
        <v>9</v>
      </c>
      <c r="C473" t="s">
        <v>26</v>
      </c>
      <c r="D473">
        <v>383</v>
      </c>
      <c r="E473" t="s">
        <v>47</v>
      </c>
      <c r="F473" t="s">
        <v>51</v>
      </c>
    </row>
    <row r="474" spans="1:6" x14ac:dyDescent="0.35">
      <c r="A474" s="2">
        <v>45595</v>
      </c>
      <c r="B474" t="s">
        <v>7</v>
      </c>
      <c r="C474" t="s">
        <v>20</v>
      </c>
      <c r="D474">
        <v>224</v>
      </c>
      <c r="E474" t="s">
        <v>47</v>
      </c>
      <c r="F474" t="s">
        <v>51</v>
      </c>
    </row>
    <row r="475" spans="1:6" x14ac:dyDescent="0.35">
      <c r="A475" s="2">
        <v>45595</v>
      </c>
      <c r="B475" t="s">
        <v>9</v>
      </c>
      <c r="C475" t="s">
        <v>26</v>
      </c>
      <c r="D475">
        <v>275</v>
      </c>
      <c r="E475" t="s">
        <v>47</v>
      </c>
      <c r="F475" t="s">
        <v>52</v>
      </c>
    </row>
    <row r="476" spans="1:6" x14ac:dyDescent="0.35">
      <c r="A476" s="2">
        <v>45596</v>
      </c>
      <c r="B476" t="s">
        <v>9</v>
      </c>
      <c r="C476" t="s">
        <v>22</v>
      </c>
      <c r="D476">
        <v>156</v>
      </c>
      <c r="E476" t="s">
        <v>47</v>
      </c>
      <c r="F476" t="s">
        <v>50</v>
      </c>
    </row>
    <row r="477" spans="1:6" x14ac:dyDescent="0.35">
      <c r="A477" s="2">
        <v>45597</v>
      </c>
      <c r="B477" t="s">
        <v>7</v>
      </c>
      <c r="C477" t="s">
        <v>20</v>
      </c>
      <c r="D477">
        <v>156</v>
      </c>
      <c r="E477" t="s">
        <v>47</v>
      </c>
      <c r="F477" t="s">
        <v>49</v>
      </c>
    </row>
    <row r="478" spans="1:6" x14ac:dyDescent="0.35">
      <c r="A478" s="2">
        <v>45598</v>
      </c>
      <c r="B478" t="s">
        <v>9</v>
      </c>
      <c r="C478" t="s">
        <v>26</v>
      </c>
      <c r="D478">
        <v>150</v>
      </c>
      <c r="E478" t="s">
        <v>47</v>
      </c>
      <c r="F478" t="s">
        <v>49</v>
      </c>
    </row>
    <row r="479" spans="1:6" x14ac:dyDescent="0.35">
      <c r="A479" s="2">
        <v>45599</v>
      </c>
      <c r="B479" t="s">
        <v>12</v>
      </c>
      <c r="C479" t="s">
        <v>25</v>
      </c>
      <c r="D479">
        <v>73</v>
      </c>
      <c r="E479" t="s">
        <v>47</v>
      </c>
      <c r="F479" t="s">
        <v>49</v>
      </c>
    </row>
    <row r="480" spans="1:6" x14ac:dyDescent="0.35">
      <c r="A480" s="2">
        <v>45600</v>
      </c>
      <c r="B480" t="s">
        <v>13</v>
      </c>
      <c r="C480" t="s">
        <v>27</v>
      </c>
      <c r="D480">
        <v>165</v>
      </c>
      <c r="E480" t="s">
        <v>47</v>
      </c>
      <c r="F480" t="s">
        <v>49</v>
      </c>
    </row>
    <row r="481" spans="1:6" x14ac:dyDescent="0.35">
      <c r="A481" s="2">
        <v>45600</v>
      </c>
      <c r="B481" t="s">
        <v>7</v>
      </c>
      <c r="C481" t="s">
        <v>39</v>
      </c>
      <c r="D481">
        <v>154</v>
      </c>
      <c r="E481" t="s">
        <v>47</v>
      </c>
      <c r="F481" t="s">
        <v>50</v>
      </c>
    </row>
    <row r="482" spans="1:6" x14ac:dyDescent="0.35">
      <c r="A482" s="2">
        <v>45601</v>
      </c>
      <c r="B482" t="s">
        <v>12</v>
      </c>
      <c r="C482" t="s">
        <v>25</v>
      </c>
      <c r="D482">
        <v>15</v>
      </c>
      <c r="E482" t="s">
        <v>47</v>
      </c>
      <c r="F482" t="s">
        <v>52</v>
      </c>
    </row>
    <row r="483" spans="1:6" x14ac:dyDescent="0.35">
      <c r="A483" s="2">
        <v>45602</v>
      </c>
      <c r="B483" t="s">
        <v>10</v>
      </c>
      <c r="C483" t="s">
        <v>33</v>
      </c>
      <c r="D483">
        <v>413</v>
      </c>
      <c r="E483" t="s">
        <v>47</v>
      </c>
      <c r="F483" t="s">
        <v>52</v>
      </c>
    </row>
    <row r="484" spans="1:6" x14ac:dyDescent="0.35">
      <c r="A484" s="2">
        <v>45603</v>
      </c>
      <c r="B484" t="s">
        <v>7</v>
      </c>
      <c r="C484" t="s">
        <v>20</v>
      </c>
      <c r="D484">
        <v>327</v>
      </c>
      <c r="E484" t="s">
        <v>47</v>
      </c>
      <c r="F484" t="s">
        <v>52</v>
      </c>
    </row>
    <row r="485" spans="1:6" x14ac:dyDescent="0.35">
      <c r="A485" s="2">
        <v>45604</v>
      </c>
      <c r="B485" t="s">
        <v>10</v>
      </c>
      <c r="C485" t="s">
        <v>23</v>
      </c>
      <c r="D485">
        <v>463</v>
      </c>
      <c r="E485" t="s">
        <v>47</v>
      </c>
      <c r="F485" t="s">
        <v>49</v>
      </c>
    </row>
    <row r="486" spans="1:6" x14ac:dyDescent="0.35">
      <c r="A486" s="2">
        <v>45605</v>
      </c>
      <c r="B486" t="s">
        <v>11</v>
      </c>
      <c r="C486" t="s">
        <v>42</v>
      </c>
      <c r="D486">
        <v>106</v>
      </c>
      <c r="E486" t="s">
        <v>47</v>
      </c>
      <c r="F486" t="s">
        <v>52</v>
      </c>
    </row>
    <row r="487" spans="1:6" x14ac:dyDescent="0.35">
      <c r="A487" s="2">
        <v>45605</v>
      </c>
      <c r="B487" t="s">
        <v>12</v>
      </c>
      <c r="C487" t="s">
        <v>35</v>
      </c>
      <c r="D487">
        <v>498</v>
      </c>
      <c r="E487" t="s">
        <v>47</v>
      </c>
      <c r="F487" t="s">
        <v>50</v>
      </c>
    </row>
    <row r="488" spans="1:6" x14ac:dyDescent="0.35">
      <c r="A488" s="2">
        <v>45606</v>
      </c>
      <c r="B488" t="s">
        <v>14</v>
      </c>
      <c r="C488" t="s">
        <v>41</v>
      </c>
      <c r="D488">
        <v>77</v>
      </c>
      <c r="E488" t="s">
        <v>47</v>
      </c>
      <c r="F488" t="s">
        <v>50</v>
      </c>
    </row>
    <row r="489" spans="1:6" x14ac:dyDescent="0.35">
      <c r="A489" s="2">
        <v>45607</v>
      </c>
      <c r="B489" t="s">
        <v>10</v>
      </c>
      <c r="C489" t="s">
        <v>23</v>
      </c>
      <c r="D489">
        <v>200</v>
      </c>
      <c r="E489" t="s">
        <v>47</v>
      </c>
      <c r="F489" t="s">
        <v>51</v>
      </c>
    </row>
    <row r="490" spans="1:6" x14ac:dyDescent="0.35">
      <c r="A490" s="2">
        <v>45607</v>
      </c>
      <c r="B490" t="s">
        <v>17</v>
      </c>
      <c r="C490" t="s">
        <v>40</v>
      </c>
      <c r="D490">
        <v>134</v>
      </c>
      <c r="E490" t="s">
        <v>47</v>
      </c>
      <c r="F490" t="s">
        <v>50</v>
      </c>
    </row>
    <row r="491" spans="1:6" x14ac:dyDescent="0.35">
      <c r="A491" s="2">
        <v>45608</v>
      </c>
      <c r="B491" t="s">
        <v>7</v>
      </c>
      <c r="C491" t="s">
        <v>20</v>
      </c>
      <c r="D491">
        <v>204</v>
      </c>
      <c r="E491" t="s">
        <v>47</v>
      </c>
      <c r="F491" t="s">
        <v>52</v>
      </c>
    </row>
    <row r="492" spans="1:6" x14ac:dyDescent="0.35">
      <c r="A492" s="2">
        <v>45609</v>
      </c>
      <c r="B492" t="s">
        <v>9</v>
      </c>
      <c r="C492" t="s">
        <v>26</v>
      </c>
      <c r="D492">
        <v>346</v>
      </c>
      <c r="E492" t="s">
        <v>47</v>
      </c>
      <c r="F492" t="s">
        <v>52</v>
      </c>
    </row>
    <row r="493" spans="1:6" x14ac:dyDescent="0.35">
      <c r="A493" s="2">
        <v>45609</v>
      </c>
      <c r="B493" t="s">
        <v>13</v>
      </c>
      <c r="C493" t="s">
        <v>27</v>
      </c>
      <c r="D493">
        <v>219</v>
      </c>
      <c r="E493" t="s">
        <v>47</v>
      </c>
      <c r="F493" t="s">
        <v>50</v>
      </c>
    </row>
    <row r="494" spans="1:6" x14ac:dyDescent="0.35">
      <c r="A494" s="2">
        <v>45610</v>
      </c>
      <c r="B494" t="s">
        <v>11</v>
      </c>
      <c r="C494" t="s">
        <v>42</v>
      </c>
      <c r="D494">
        <v>475</v>
      </c>
      <c r="E494" t="s">
        <v>47</v>
      </c>
      <c r="F494" t="s">
        <v>52</v>
      </c>
    </row>
    <row r="495" spans="1:6" x14ac:dyDescent="0.35">
      <c r="A495" s="2">
        <v>45611</v>
      </c>
      <c r="B495" t="s">
        <v>9</v>
      </c>
      <c r="C495" t="s">
        <v>22</v>
      </c>
      <c r="D495">
        <v>457</v>
      </c>
      <c r="E495" t="s">
        <v>47</v>
      </c>
      <c r="F495" t="s">
        <v>51</v>
      </c>
    </row>
    <row r="496" spans="1:6" x14ac:dyDescent="0.35">
      <c r="A496" s="2">
        <v>45611</v>
      </c>
      <c r="B496" t="s">
        <v>10</v>
      </c>
      <c r="C496" t="s">
        <v>23</v>
      </c>
      <c r="D496">
        <v>212</v>
      </c>
      <c r="E496" t="s">
        <v>47</v>
      </c>
      <c r="F496" t="s">
        <v>52</v>
      </c>
    </row>
    <row r="497" spans="1:6" x14ac:dyDescent="0.35">
      <c r="A497" s="2">
        <v>45612</v>
      </c>
      <c r="B497" t="s">
        <v>12</v>
      </c>
      <c r="C497" t="s">
        <v>25</v>
      </c>
      <c r="D497">
        <v>16</v>
      </c>
      <c r="E497" t="s">
        <v>47</v>
      </c>
      <c r="F497" t="s">
        <v>51</v>
      </c>
    </row>
    <row r="498" spans="1:6" x14ac:dyDescent="0.35">
      <c r="A498" s="2">
        <v>45613</v>
      </c>
      <c r="B498" t="s">
        <v>14</v>
      </c>
      <c r="C498" t="s">
        <v>41</v>
      </c>
      <c r="D498">
        <v>148</v>
      </c>
      <c r="E498" t="s">
        <v>47</v>
      </c>
      <c r="F498" t="s">
        <v>52</v>
      </c>
    </row>
    <row r="499" spans="1:6" x14ac:dyDescent="0.35">
      <c r="A499" s="2">
        <v>45613</v>
      </c>
      <c r="B499" t="s">
        <v>12</v>
      </c>
      <c r="C499" t="s">
        <v>25</v>
      </c>
      <c r="D499">
        <v>119</v>
      </c>
      <c r="E499" t="s">
        <v>47</v>
      </c>
      <c r="F499" t="s">
        <v>50</v>
      </c>
    </row>
    <row r="500" spans="1:6" x14ac:dyDescent="0.35">
      <c r="A500" s="2">
        <v>45614</v>
      </c>
      <c r="B500" t="s">
        <v>15</v>
      </c>
      <c r="C500" t="s">
        <v>38</v>
      </c>
      <c r="D500">
        <v>785</v>
      </c>
      <c r="E500" t="s">
        <v>48</v>
      </c>
      <c r="F500" t="s">
        <v>51</v>
      </c>
    </row>
    <row r="501" spans="1:6" x14ac:dyDescent="0.35">
      <c r="A501" s="2">
        <v>45614</v>
      </c>
      <c r="B501" t="s">
        <v>8</v>
      </c>
      <c r="C501" t="s">
        <v>21</v>
      </c>
      <c r="D501">
        <v>470</v>
      </c>
      <c r="E501" t="s">
        <v>47</v>
      </c>
      <c r="F501" t="s">
        <v>50</v>
      </c>
    </row>
    <row r="502" spans="1:6" x14ac:dyDescent="0.35">
      <c r="A502" s="2">
        <v>45614</v>
      </c>
      <c r="B502" t="s">
        <v>12</v>
      </c>
      <c r="C502" t="s">
        <v>25</v>
      </c>
      <c r="D502">
        <v>165</v>
      </c>
      <c r="E502" t="s">
        <v>47</v>
      </c>
      <c r="F502" t="s">
        <v>51</v>
      </c>
    </row>
    <row r="503" spans="1:6" x14ac:dyDescent="0.35">
      <c r="A503" s="2">
        <v>45615</v>
      </c>
      <c r="B503" t="s">
        <v>14</v>
      </c>
      <c r="C503" t="s">
        <v>29</v>
      </c>
      <c r="D503">
        <v>146</v>
      </c>
      <c r="E503" t="s">
        <v>47</v>
      </c>
      <c r="F503" t="s">
        <v>50</v>
      </c>
    </row>
    <row r="504" spans="1:6" x14ac:dyDescent="0.35">
      <c r="A504" s="2">
        <v>45615</v>
      </c>
      <c r="B504" t="s">
        <v>17</v>
      </c>
      <c r="C504" t="s">
        <v>37</v>
      </c>
      <c r="D504">
        <v>118</v>
      </c>
      <c r="E504" t="s">
        <v>47</v>
      </c>
      <c r="F504" t="s">
        <v>51</v>
      </c>
    </row>
    <row r="505" spans="1:6" x14ac:dyDescent="0.35">
      <c r="A505" s="2">
        <v>45616</v>
      </c>
      <c r="B505" t="s">
        <v>13</v>
      </c>
      <c r="C505" t="s">
        <v>27</v>
      </c>
      <c r="D505">
        <v>479</v>
      </c>
      <c r="E505" t="s">
        <v>47</v>
      </c>
      <c r="F505" t="s">
        <v>51</v>
      </c>
    </row>
    <row r="506" spans="1:6" x14ac:dyDescent="0.35">
      <c r="A506" s="2">
        <v>45617</v>
      </c>
      <c r="B506" t="s">
        <v>11</v>
      </c>
      <c r="C506" t="s">
        <v>42</v>
      </c>
      <c r="D506">
        <v>411</v>
      </c>
      <c r="E506" t="s">
        <v>47</v>
      </c>
      <c r="F506" t="s">
        <v>52</v>
      </c>
    </row>
    <row r="507" spans="1:6" x14ac:dyDescent="0.35">
      <c r="A507" s="2">
        <v>45618</v>
      </c>
      <c r="B507" t="s">
        <v>8</v>
      </c>
      <c r="C507" t="s">
        <v>34</v>
      </c>
      <c r="D507">
        <v>410</v>
      </c>
      <c r="E507" t="s">
        <v>47</v>
      </c>
      <c r="F507" t="s">
        <v>49</v>
      </c>
    </row>
    <row r="508" spans="1:6" x14ac:dyDescent="0.35">
      <c r="A508" s="2">
        <v>45619</v>
      </c>
      <c r="B508" t="s">
        <v>7</v>
      </c>
      <c r="C508" t="s">
        <v>20</v>
      </c>
      <c r="D508">
        <v>16</v>
      </c>
      <c r="E508" t="s">
        <v>47</v>
      </c>
      <c r="F508" t="s">
        <v>49</v>
      </c>
    </row>
    <row r="509" spans="1:6" x14ac:dyDescent="0.35">
      <c r="A509" s="2">
        <v>45619</v>
      </c>
      <c r="B509" t="s">
        <v>17</v>
      </c>
      <c r="C509" t="s">
        <v>40</v>
      </c>
      <c r="D509">
        <v>170</v>
      </c>
      <c r="E509" t="s">
        <v>47</v>
      </c>
      <c r="F509" t="s">
        <v>52</v>
      </c>
    </row>
    <row r="510" spans="1:6" x14ac:dyDescent="0.35">
      <c r="A510" s="2">
        <v>45620</v>
      </c>
      <c r="B510" t="s">
        <v>6</v>
      </c>
      <c r="C510" t="s">
        <v>28</v>
      </c>
      <c r="D510">
        <v>162</v>
      </c>
      <c r="E510" t="s">
        <v>47</v>
      </c>
      <c r="F510" t="s">
        <v>52</v>
      </c>
    </row>
    <row r="511" spans="1:6" x14ac:dyDescent="0.35">
      <c r="A511" s="2">
        <v>45620</v>
      </c>
      <c r="B511" t="s">
        <v>8</v>
      </c>
      <c r="C511" t="s">
        <v>34</v>
      </c>
      <c r="D511">
        <v>340</v>
      </c>
      <c r="E511" t="s">
        <v>47</v>
      </c>
      <c r="F511" t="s">
        <v>49</v>
      </c>
    </row>
    <row r="512" spans="1:6" x14ac:dyDescent="0.35">
      <c r="A512" s="2">
        <v>45621</v>
      </c>
      <c r="B512" t="s">
        <v>7</v>
      </c>
      <c r="C512" t="s">
        <v>43</v>
      </c>
      <c r="D512">
        <v>70</v>
      </c>
      <c r="E512" t="s">
        <v>47</v>
      </c>
      <c r="F512" t="s">
        <v>49</v>
      </c>
    </row>
    <row r="513" spans="1:6" x14ac:dyDescent="0.35">
      <c r="A513" s="2">
        <v>45622</v>
      </c>
      <c r="B513" t="s">
        <v>14</v>
      </c>
      <c r="C513" t="s">
        <v>29</v>
      </c>
      <c r="D513">
        <v>260</v>
      </c>
      <c r="E513" t="s">
        <v>47</v>
      </c>
      <c r="F513" t="s">
        <v>52</v>
      </c>
    </row>
    <row r="514" spans="1:6" x14ac:dyDescent="0.35">
      <c r="A514" s="2">
        <v>45622</v>
      </c>
      <c r="B514" t="s">
        <v>10</v>
      </c>
      <c r="C514" t="s">
        <v>33</v>
      </c>
      <c r="D514">
        <v>285</v>
      </c>
      <c r="E514" t="s">
        <v>47</v>
      </c>
      <c r="F514" t="s">
        <v>51</v>
      </c>
    </row>
    <row r="515" spans="1:6" x14ac:dyDescent="0.35">
      <c r="A515" s="2">
        <v>45623</v>
      </c>
      <c r="B515" t="s">
        <v>17</v>
      </c>
      <c r="C515" t="s">
        <v>40</v>
      </c>
      <c r="D515">
        <v>340</v>
      </c>
      <c r="E515" t="s">
        <v>47</v>
      </c>
      <c r="F515" t="s">
        <v>52</v>
      </c>
    </row>
    <row r="516" spans="1:6" x14ac:dyDescent="0.35">
      <c r="A516" s="2">
        <v>45623</v>
      </c>
      <c r="B516" t="s">
        <v>14</v>
      </c>
      <c r="C516" t="s">
        <v>41</v>
      </c>
      <c r="D516">
        <v>487</v>
      </c>
      <c r="E516" t="s">
        <v>47</v>
      </c>
      <c r="F516" t="s">
        <v>51</v>
      </c>
    </row>
    <row r="517" spans="1:6" x14ac:dyDescent="0.35">
      <c r="A517" s="2">
        <v>45624</v>
      </c>
      <c r="B517" t="s">
        <v>7</v>
      </c>
      <c r="C517" t="s">
        <v>20</v>
      </c>
      <c r="D517">
        <v>396</v>
      </c>
      <c r="E517" t="s">
        <v>47</v>
      </c>
      <c r="F517" t="s">
        <v>51</v>
      </c>
    </row>
    <row r="518" spans="1:6" x14ac:dyDescent="0.35">
      <c r="A518" s="2">
        <v>45625</v>
      </c>
      <c r="B518" t="s">
        <v>15</v>
      </c>
      <c r="C518" t="s">
        <v>38</v>
      </c>
      <c r="D518">
        <v>2103</v>
      </c>
      <c r="E518" t="s">
        <v>48</v>
      </c>
      <c r="F518" t="s">
        <v>51</v>
      </c>
    </row>
    <row r="519" spans="1:6" x14ac:dyDescent="0.35">
      <c r="A519" s="2">
        <v>45625</v>
      </c>
      <c r="B519" t="s">
        <v>14</v>
      </c>
      <c r="C519" t="s">
        <v>29</v>
      </c>
      <c r="D519">
        <v>481</v>
      </c>
      <c r="E519" t="s">
        <v>47</v>
      </c>
      <c r="F519" t="s">
        <v>50</v>
      </c>
    </row>
    <row r="520" spans="1:6" x14ac:dyDescent="0.35">
      <c r="A520" s="2">
        <v>45625</v>
      </c>
      <c r="B520" t="s">
        <v>8</v>
      </c>
      <c r="C520" t="s">
        <v>21</v>
      </c>
      <c r="D520">
        <v>353</v>
      </c>
      <c r="E520" t="s">
        <v>47</v>
      </c>
      <c r="F520" t="s">
        <v>49</v>
      </c>
    </row>
    <row r="521" spans="1:6" x14ac:dyDescent="0.35">
      <c r="A521" s="2">
        <v>45626</v>
      </c>
      <c r="B521" t="s">
        <v>12</v>
      </c>
      <c r="C521" t="s">
        <v>35</v>
      </c>
      <c r="D521">
        <v>291</v>
      </c>
      <c r="E521" t="s">
        <v>47</v>
      </c>
      <c r="F521" t="s">
        <v>49</v>
      </c>
    </row>
    <row r="522" spans="1:6" x14ac:dyDescent="0.35">
      <c r="A522" s="2">
        <v>45626</v>
      </c>
      <c r="B522" t="s">
        <v>7</v>
      </c>
      <c r="C522" t="s">
        <v>43</v>
      </c>
      <c r="D522">
        <v>422</v>
      </c>
      <c r="E522" t="s">
        <v>47</v>
      </c>
      <c r="F522" t="s">
        <v>52</v>
      </c>
    </row>
    <row r="523" spans="1:6" x14ac:dyDescent="0.35">
      <c r="A523" s="2">
        <v>45627</v>
      </c>
      <c r="B523" t="s">
        <v>13</v>
      </c>
      <c r="C523" t="s">
        <v>27</v>
      </c>
      <c r="D523">
        <v>257</v>
      </c>
      <c r="E523" t="s">
        <v>47</v>
      </c>
      <c r="F523" t="s">
        <v>49</v>
      </c>
    </row>
    <row r="524" spans="1:6" x14ac:dyDescent="0.35">
      <c r="A524" s="2">
        <v>45627</v>
      </c>
      <c r="B524" t="s">
        <v>6</v>
      </c>
      <c r="C524" t="s">
        <v>19</v>
      </c>
      <c r="D524">
        <v>461</v>
      </c>
      <c r="E524" t="s">
        <v>47</v>
      </c>
      <c r="F524" t="s">
        <v>49</v>
      </c>
    </row>
    <row r="525" spans="1:6" x14ac:dyDescent="0.35">
      <c r="A525" s="2">
        <v>45628</v>
      </c>
      <c r="B525" t="s">
        <v>7</v>
      </c>
      <c r="C525" t="s">
        <v>39</v>
      </c>
      <c r="D525">
        <v>160</v>
      </c>
      <c r="E525" t="s">
        <v>47</v>
      </c>
      <c r="F525" t="s">
        <v>52</v>
      </c>
    </row>
    <row r="526" spans="1:6" x14ac:dyDescent="0.35">
      <c r="A526" s="2">
        <v>45629</v>
      </c>
      <c r="B526" t="s">
        <v>17</v>
      </c>
      <c r="C526" t="s">
        <v>40</v>
      </c>
      <c r="D526">
        <v>264</v>
      </c>
      <c r="E526" t="s">
        <v>47</v>
      </c>
      <c r="F526" t="s">
        <v>49</v>
      </c>
    </row>
    <row r="527" spans="1:6" x14ac:dyDescent="0.35">
      <c r="A527" s="2">
        <v>45630</v>
      </c>
      <c r="B527" t="s">
        <v>12</v>
      </c>
      <c r="C527" t="s">
        <v>25</v>
      </c>
      <c r="D527">
        <v>312</v>
      </c>
      <c r="E527" t="s">
        <v>47</v>
      </c>
      <c r="F527" t="s">
        <v>51</v>
      </c>
    </row>
    <row r="528" spans="1:6" x14ac:dyDescent="0.35">
      <c r="A528" s="2">
        <v>45631</v>
      </c>
      <c r="B528" t="s">
        <v>8</v>
      </c>
      <c r="C528" t="s">
        <v>34</v>
      </c>
      <c r="D528">
        <v>182</v>
      </c>
      <c r="E528" t="s">
        <v>47</v>
      </c>
      <c r="F528" t="s">
        <v>49</v>
      </c>
    </row>
    <row r="529" spans="1:6" x14ac:dyDescent="0.35">
      <c r="A529" s="2">
        <v>45631</v>
      </c>
      <c r="B529" t="s">
        <v>7</v>
      </c>
      <c r="C529" t="s">
        <v>43</v>
      </c>
      <c r="D529">
        <v>66</v>
      </c>
      <c r="E529" t="s">
        <v>47</v>
      </c>
      <c r="F529" t="s">
        <v>50</v>
      </c>
    </row>
    <row r="530" spans="1:6" x14ac:dyDescent="0.35">
      <c r="A530" s="2">
        <v>45632</v>
      </c>
      <c r="B530" t="s">
        <v>8</v>
      </c>
      <c r="C530" t="s">
        <v>21</v>
      </c>
      <c r="D530">
        <v>459</v>
      </c>
      <c r="E530" t="s">
        <v>47</v>
      </c>
      <c r="F530" t="s">
        <v>51</v>
      </c>
    </row>
    <row r="531" spans="1:6" x14ac:dyDescent="0.35">
      <c r="A531" s="2">
        <v>45633</v>
      </c>
      <c r="B531" t="s">
        <v>12</v>
      </c>
      <c r="C531" t="s">
        <v>25</v>
      </c>
      <c r="D531">
        <v>66</v>
      </c>
      <c r="E531" t="s">
        <v>47</v>
      </c>
      <c r="F531" t="s">
        <v>49</v>
      </c>
    </row>
    <row r="532" spans="1:6" x14ac:dyDescent="0.35">
      <c r="A532" s="2">
        <v>45634</v>
      </c>
      <c r="B532" t="s">
        <v>7</v>
      </c>
      <c r="C532" t="s">
        <v>20</v>
      </c>
      <c r="D532">
        <v>475</v>
      </c>
      <c r="E532" t="s">
        <v>47</v>
      </c>
      <c r="F532" t="s">
        <v>52</v>
      </c>
    </row>
    <row r="533" spans="1:6" x14ac:dyDescent="0.35">
      <c r="A533" s="2">
        <v>45634</v>
      </c>
      <c r="B533" t="s">
        <v>6</v>
      </c>
      <c r="C533" t="s">
        <v>19</v>
      </c>
      <c r="D533">
        <v>393</v>
      </c>
      <c r="E533" t="s">
        <v>47</v>
      </c>
      <c r="F533" t="s">
        <v>51</v>
      </c>
    </row>
    <row r="534" spans="1:6" x14ac:dyDescent="0.35">
      <c r="A534" s="2">
        <v>45635</v>
      </c>
      <c r="B534" t="s">
        <v>13</v>
      </c>
      <c r="C534" t="s">
        <v>27</v>
      </c>
      <c r="D534">
        <v>497</v>
      </c>
      <c r="E534" t="s">
        <v>47</v>
      </c>
      <c r="F534" t="s">
        <v>51</v>
      </c>
    </row>
    <row r="535" spans="1:6" x14ac:dyDescent="0.35">
      <c r="A535" s="2">
        <v>45635</v>
      </c>
      <c r="B535" t="s">
        <v>7</v>
      </c>
      <c r="C535" t="s">
        <v>20</v>
      </c>
      <c r="D535">
        <v>489</v>
      </c>
      <c r="E535" t="s">
        <v>47</v>
      </c>
      <c r="F535" t="s">
        <v>51</v>
      </c>
    </row>
    <row r="536" spans="1:6" x14ac:dyDescent="0.35">
      <c r="A536" s="2">
        <v>45636</v>
      </c>
      <c r="B536" t="s">
        <v>15</v>
      </c>
      <c r="C536" t="s">
        <v>38</v>
      </c>
      <c r="D536">
        <v>996</v>
      </c>
      <c r="E536" t="s">
        <v>48</v>
      </c>
      <c r="F536" t="s">
        <v>50</v>
      </c>
    </row>
    <row r="537" spans="1:6" x14ac:dyDescent="0.35">
      <c r="A537" s="2">
        <v>45636</v>
      </c>
      <c r="B537" t="s">
        <v>7</v>
      </c>
      <c r="C537" t="s">
        <v>43</v>
      </c>
      <c r="D537">
        <v>121</v>
      </c>
      <c r="E537" t="s">
        <v>47</v>
      </c>
      <c r="F537" t="s">
        <v>52</v>
      </c>
    </row>
    <row r="538" spans="1:6" x14ac:dyDescent="0.35">
      <c r="A538" s="2">
        <v>45637</v>
      </c>
      <c r="B538" t="s">
        <v>14</v>
      </c>
      <c r="C538" t="s">
        <v>29</v>
      </c>
      <c r="D538">
        <v>236</v>
      </c>
      <c r="E538" t="s">
        <v>47</v>
      </c>
      <c r="F538" t="s">
        <v>49</v>
      </c>
    </row>
    <row r="539" spans="1:6" x14ac:dyDescent="0.35">
      <c r="A539" s="2">
        <v>45637</v>
      </c>
      <c r="B539" t="s">
        <v>10</v>
      </c>
      <c r="C539" t="s">
        <v>23</v>
      </c>
      <c r="D539">
        <v>440</v>
      </c>
      <c r="E539" t="s">
        <v>47</v>
      </c>
      <c r="F539" t="s">
        <v>51</v>
      </c>
    </row>
    <row r="540" spans="1:6" x14ac:dyDescent="0.35">
      <c r="A540" s="2">
        <v>45638</v>
      </c>
      <c r="B540" t="s">
        <v>9</v>
      </c>
      <c r="C540" t="s">
        <v>26</v>
      </c>
      <c r="D540">
        <v>117</v>
      </c>
      <c r="E540" t="s">
        <v>47</v>
      </c>
      <c r="F540" t="s">
        <v>51</v>
      </c>
    </row>
    <row r="541" spans="1:6" x14ac:dyDescent="0.35">
      <c r="A541" s="2">
        <v>45639</v>
      </c>
      <c r="B541" t="s">
        <v>10</v>
      </c>
      <c r="C541" t="s">
        <v>23</v>
      </c>
      <c r="D541">
        <v>133</v>
      </c>
      <c r="E541" t="s">
        <v>47</v>
      </c>
      <c r="F541" t="s">
        <v>52</v>
      </c>
    </row>
    <row r="542" spans="1:6" x14ac:dyDescent="0.35">
      <c r="A542" s="2">
        <v>45639</v>
      </c>
      <c r="B542" t="s">
        <v>17</v>
      </c>
      <c r="C542" t="s">
        <v>40</v>
      </c>
      <c r="D542">
        <v>246</v>
      </c>
      <c r="E542" t="s">
        <v>47</v>
      </c>
      <c r="F542" t="s">
        <v>52</v>
      </c>
    </row>
    <row r="543" spans="1:6" x14ac:dyDescent="0.35">
      <c r="A543" s="2">
        <v>45640</v>
      </c>
      <c r="B543" t="s">
        <v>7</v>
      </c>
      <c r="C543" t="s">
        <v>43</v>
      </c>
      <c r="D543">
        <v>251</v>
      </c>
      <c r="E543" t="s">
        <v>47</v>
      </c>
      <c r="F543" t="s">
        <v>52</v>
      </c>
    </row>
    <row r="544" spans="1:6" x14ac:dyDescent="0.35">
      <c r="A544" s="2">
        <v>45640</v>
      </c>
      <c r="B544" t="s">
        <v>6</v>
      </c>
      <c r="C544" t="s">
        <v>19</v>
      </c>
      <c r="D544">
        <v>218</v>
      </c>
      <c r="E544" t="s">
        <v>47</v>
      </c>
      <c r="F544" t="s">
        <v>50</v>
      </c>
    </row>
    <row r="545" spans="1:6" x14ac:dyDescent="0.35">
      <c r="A545" s="2">
        <v>45641</v>
      </c>
      <c r="B545" t="s">
        <v>12</v>
      </c>
      <c r="C545" t="s">
        <v>25</v>
      </c>
      <c r="D545">
        <v>177</v>
      </c>
      <c r="E545" t="s">
        <v>47</v>
      </c>
      <c r="F545" t="s">
        <v>49</v>
      </c>
    </row>
    <row r="546" spans="1:6" x14ac:dyDescent="0.35">
      <c r="A546" s="2">
        <v>45642</v>
      </c>
      <c r="B546" t="s">
        <v>17</v>
      </c>
      <c r="C546" t="s">
        <v>37</v>
      </c>
      <c r="D546">
        <v>105</v>
      </c>
      <c r="E546" t="s">
        <v>47</v>
      </c>
      <c r="F546" t="s">
        <v>50</v>
      </c>
    </row>
    <row r="547" spans="1:6" x14ac:dyDescent="0.35">
      <c r="A547" s="2">
        <v>45642</v>
      </c>
      <c r="B547" t="s">
        <v>6</v>
      </c>
      <c r="C547" t="s">
        <v>19</v>
      </c>
      <c r="D547">
        <v>91</v>
      </c>
      <c r="E547" t="s">
        <v>47</v>
      </c>
      <c r="F547" t="s">
        <v>49</v>
      </c>
    </row>
    <row r="548" spans="1:6" x14ac:dyDescent="0.35">
      <c r="A548" s="2">
        <v>45643</v>
      </c>
      <c r="B548" t="s">
        <v>6</v>
      </c>
      <c r="C548" t="s">
        <v>19</v>
      </c>
      <c r="D548">
        <v>156</v>
      </c>
      <c r="E548" t="s">
        <v>47</v>
      </c>
      <c r="F548" t="s">
        <v>51</v>
      </c>
    </row>
    <row r="549" spans="1:6" x14ac:dyDescent="0.35">
      <c r="A549" s="2">
        <v>45644</v>
      </c>
      <c r="B549" t="s">
        <v>6</v>
      </c>
      <c r="C549" t="s">
        <v>28</v>
      </c>
      <c r="D549">
        <v>419</v>
      </c>
      <c r="E549" t="s">
        <v>47</v>
      </c>
      <c r="F549" t="s">
        <v>52</v>
      </c>
    </row>
    <row r="550" spans="1:6" x14ac:dyDescent="0.35">
      <c r="A550" s="2">
        <v>45645</v>
      </c>
      <c r="B550" t="s">
        <v>11</v>
      </c>
      <c r="C550" t="s">
        <v>24</v>
      </c>
      <c r="D550">
        <v>32</v>
      </c>
      <c r="E550" t="s">
        <v>47</v>
      </c>
      <c r="F550" t="s">
        <v>49</v>
      </c>
    </row>
    <row r="551" spans="1:6" x14ac:dyDescent="0.35">
      <c r="A551" s="2">
        <v>45645</v>
      </c>
      <c r="B551" t="s">
        <v>9</v>
      </c>
      <c r="C551" t="s">
        <v>26</v>
      </c>
      <c r="D551">
        <v>265</v>
      </c>
      <c r="E551" t="s">
        <v>47</v>
      </c>
      <c r="F551" t="s">
        <v>52</v>
      </c>
    </row>
    <row r="552" spans="1:6" x14ac:dyDescent="0.35">
      <c r="A552" s="2">
        <v>45646</v>
      </c>
      <c r="B552" t="s">
        <v>9</v>
      </c>
      <c r="C552" t="s">
        <v>22</v>
      </c>
      <c r="D552">
        <v>115</v>
      </c>
      <c r="E552" t="s">
        <v>47</v>
      </c>
      <c r="F552" t="s">
        <v>50</v>
      </c>
    </row>
    <row r="553" spans="1:6" x14ac:dyDescent="0.35">
      <c r="A553" s="2">
        <v>45646</v>
      </c>
      <c r="B553" t="s">
        <v>17</v>
      </c>
      <c r="C553" t="s">
        <v>37</v>
      </c>
      <c r="D553">
        <v>140</v>
      </c>
      <c r="E553" t="s">
        <v>47</v>
      </c>
      <c r="F553" t="s">
        <v>50</v>
      </c>
    </row>
    <row r="554" spans="1:6" x14ac:dyDescent="0.35">
      <c r="A554" s="2">
        <v>45647</v>
      </c>
      <c r="B554" t="s">
        <v>13</v>
      </c>
      <c r="C554" t="s">
        <v>27</v>
      </c>
      <c r="D554">
        <v>467</v>
      </c>
      <c r="E554" t="s">
        <v>47</v>
      </c>
      <c r="F554" t="s">
        <v>52</v>
      </c>
    </row>
    <row r="555" spans="1:6" x14ac:dyDescent="0.35">
      <c r="A555" s="2">
        <v>45648</v>
      </c>
      <c r="B555" t="s">
        <v>18</v>
      </c>
      <c r="C555" t="s">
        <v>44</v>
      </c>
      <c r="D555">
        <v>2113</v>
      </c>
      <c r="E555" t="s">
        <v>48</v>
      </c>
      <c r="F555" t="s">
        <v>51</v>
      </c>
    </row>
    <row r="556" spans="1:6" x14ac:dyDescent="0.35">
      <c r="A556" s="2">
        <v>45648</v>
      </c>
      <c r="B556" t="s">
        <v>10</v>
      </c>
      <c r="C556" t="s">
        <v>33</v>
      </c>
      <c r="D556">
        <v>123</v>
      </c>
      <c r="E556" t="s">
        <v>47</v>
      </c>
      <c r="F556" t="s">
        <v>52</v>
      </c>
    </row>
    <row r="557" spans="1:6" x14ac:dyDescent="0.35">
      <c r="A557" s="2">
        <v>45649</v>
      </c>
      <c r="B557" t="s">
        <v>7</v>
      </c>
      <c r="C557" t="s">
        <v>43</v>
      </c>
      <c r="D557">
        <v>492</v>
      </c>
      <c r="E557" t="s">
        <v>47</v>
      </c>
      <c r="F557" t="s">
        <v>52</v>
      </c>
    </row>
    <row r="558" spans="1:6" x14ac:dyDescent="0.35">
      <c r="A558" s="2">
        <v>45649</v>
      </c>
      <c r="B558" t="s">
        <v>8</v>
      </c>
      <c r="C558" t="s">
        <v>34</v>
      </c>
      <c r="D558">
        <v>185</v>
      </c>
      <c r="E558" t="s">
        <v>47</v>
      </c>
      <c r="F558" t="s">
        <v>50</v>
      </c>
    </row>
    <row r="559" spans="1:6" x14ac:dyDescent="0.35">
      <c r="A559" s="2">
        <v>45650</v>
      </c>
      <c r="B559" t="s">
        <v>13</v>
      </c>
      <c r="C559" t="s">
        <v>27</v>
      </c>
      <c r="D559">
        <v>15</v>
      </c>
      <c r="E559" t="s">
        <v>47</v>
      </c>
      <c r="F559" t="s">
        <v>52</v>
      </c>
    </row>
    <row r="560" spans="1:6" x14ac:dyDescent="0.35">
      <c r="A560" s="2">
        <v>45650</v>
      </c>
      <c r="B560" t="s">
        <v>17</v>
      </c>
      <c r="C560" t="s">
        <v>40</v>
      </c>
      <c r="D560">
        <v>406</v>
      </c>
      <c r="E560" t="s">
        <v>47</v>
      </c>
      <c r="F560" t="s">
        <v>49</v>
      </c>
    </row>
    <row r="561" spans="1:6" x14ac:dyDescent="0.35">
      <c r="A561" s="2">
        <v>45651</v>
      </c>
      <c r="B561" t="s">
        <v>9</v>
      </c>
      <c r="C561" t="s">
        <v>26</v>
      </c>
      <c r="D561">
        <v>118</v>
      </c>
      <c r="E561" t="s">
        <v>47</v>
      </c>
      <c r="F561" t="s">
        <v>52</v>
      </c>
    </row>
    <row r="562" spans="1:6" x14ac:dyDescent="0.35">
      <c r="A562" s="2">
        <v>45651</v>
      </c>
      <c r="B562" t="s">
        <v>14</v>
      </c>
      <c r="C562" t="s">
        <v>29</v>
      </c>
      <c r="D562">
        <v>472</v>
      </c>
      <c r="E562" t="s">
        <v>47</v>
      </c>
      <c r="F562" t="s">
        <v>51</v>
      </c>
    </row>
    <row r="563" spans="1:6" x14ac:dyDescent="0.35">
      <c r="A563" s="2">
        <v>45652</v>
      </c>
      <c r="B563" t="s">
        <v>17</v>
      </c>
      <c r="C563" t="s">
        <v>40</v>
      </c>
      <c r="D563">
        <v>409</v>
      </c>
      <c r="E563" t="s">
        <v>47</v>
      </c>
      <c r="F563" t="s">
        <v>49</v>
      </c>
    </row>
    <row r="564" spans="1:6" x14ac:dyDescent="0.35">
      <c r="A564" s="2">
        <v>45653</v>
      </c>
      <c r="B564" t="s">
        <v>12</v>
      </c>
      <c r="C564" t="s">
        <v>35</v>
      </c>
      <c r="D564">
        <v>272</v>
      </c>
      <c r="E564" t="s">
        <v>47</v>
      </c>
      <c r="F564" t="s">
        <v>51</v>
      </c>
    </row>
    <row r="565" spans="1:6" x14ac:dyDescent="0.35">
      <c r="A565" s="2">
        <v>45653</v>
      </c>
      <c r="B565" t="s">
        <v>13</v>
      </c>
      <c r="C565" t="s">
        <v>27</v>
      </c>
      <c r="D565">
        <v>153</v>
      </c>
      <c r="E565" t="s">
        <v>47</v>
      </c>
      <c r="F565" t="s">
        <v>51</v>
      </c>
    </row>
    <row r="566" spans="1:6" x14ac:dyDescent="0.35">
      <c r="A566" s="2">
        <v>45654</v>
      </c>
      <c r="B566" t="s">
        <v>6</v>
      </c>
      <c r="C566" t="s">
        <v>28</v>
      </c>
      <c r="D566">
        <v>364</v>
      </c>
      <c r="E566" t="s">
        <v>47</v>
      </c>
      <c r="F566" t="s">
        <v>52</v>
      </c>
    </row>
    <row r="567" spans="1:6" x14ac:dyDescent="0.35">
      <c r="A567" s="2">
        <v>45654</v>
      </c>
      <c r="B567" t="s">
        <v>12</v>
      </c>
      <c r="C567" t="s">
        <v>35</v>
      </c>
      <c r="D567">
        <v>240</v>
      </c>
      <c r="E567" t="s">
        <v>47</v>
      </c>
      <c r="F567" t="s">
        <v>50</v>
      </c>
    </row>
    <row r="568" spans="1:6" x14ac:dyDescent="0.35">
      <c r="A568" s="2">
        <v>45655</v>
      </c>
      <c r="B568" t="s">
        <v>8</v>
      </c>
      <c r="C568" t="s">
        <v>34</v>
      </c>
      <c r="D568">
        <v>349</v>
      </c>
      <c r="E568" t="s">
        <v>47</v>
      </c>
      <c r="F568" t="s">
        <v>52</v>
      </c>
    </row>
    <row r="569" spans="1:6" x14ac:dyDescent="0.35">
      <c r="A569" s="2">
        <v>45655</v>
      </c>
      <c r="B569" t="s">
        <v>13</v>
      </c>
      <c r="C569" t="s">
        <v>27</v>
      </c>
      <c r="D569">
        <v>262</v>
      </c>
      <c r="E569" t="s">
        <v>47</v>
      </c>
      <c r="F569" t="s">
        <v>51</v>
      </c>
    </row>
    <row r="570" spans="1:6" x14ac:dyDescent="0.35">
      <c r="A570" s="2">
        <v>45656</v>
      </c>
      <c r="B570" t="s">
        <v>13</v>
      </c>
      <c r="C570" t="s">
        <v>27</v>
      </c>
      <c r="D570">
        <v>99</v>
      </c>
      <c r="E570" t="s">
        <v>47</v>
      </c>
      <c r="F570" t="s">
        <v>49</v>
      </c>
    </row>
    <row r="571" spans="1:6" x14ac:dyDescent="0.35">
      <c r="A571" s="2">
        <v>45656</v>
      </c>
      <c r="B571" t="s">
        <v>11</v>
      </c>
      <c r="C571" t="s">
        <v>24</v>
      </c>
      <c r="D571">
        <v>92</v>
      </c>
      <c r="E571" t="s">
        <v>47</v>
      </c>
      <c r="F571" t="s">
        <v>50</v>
      </c>
    </row>
    <row r="572" spans="1:6" x14ac:dyDescent="0.35">
      <c r="A572" s="2">
        <v>45657</v>
      </c>
      <c r="B572" t="s">
        <v>7</v>
      </c>
      <c r="C572" t="s">
        <v>39</v>
      </c>
      <c r="D572">
        <v>357</v>
      </c>
      <c r="E572" t="s">
        <v>47</v>
      </c>
      <c r="F572" t="s">
        <v>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7B27-3272-44A4-A938-F64B66510056}">
  <dimension ref="A1:E2"/>
  <sheetViews>
    <sheetView view="pageBreakPreview" zoomScale="60" zoomScaleNormal="100" workbookViewId="0">
      <selection activeCell="E13" sqref="E13"/>
    </sheetView>
  </sheetViews>
  <sheetFormatPr defaultRowHeight="14.5" x14ac:dyDescent="0.35"/>
  <cols>
    <col min="1" max="1" width="15.36328125" customWidth="1"/>
    <col min="2" max="2" width="15" customWidth="1"/>
    <col min="3" max="3" width="14.90625" customWidth="1"/>
    <col min="4" max="4" width="14.81640625" customWidth="1"/>
    <col min="5" max="5" width="25.7265625" customWidth="1"/>
  </cols>
  <sheetData>
    <row r="1" spans="1:5" x14ac:dyDescent="0.35">
      <c r="A1" s="6" t="s">
        <v>53</v>
      </c>
      <c r="B1" s="7" t="s">
        <v>54</v>
      </c>
      <c r="C1" s="7" t="s">
        <v>55</v>
      </c>
      <c r="D1" s="7" t="s">
        <v>56</v>
      </c>
      <c r="E1" s="8" t="s">
        <v>57</v>
      </c>
    </row>
    <row r="2" spans="1:5" x14ac:dyDescent="0.35">
      <c r="A2" s="9">
        <f>SUMIFS(SpendingData[Amount],SpendingData[Type],"income")</f>
        <v>67386</v>
      </c>
      <c r="B2" s="10">
        <f>SUMIFS(SpendingData[Amount],SpendingData[Type],"expense")</f>
        <v>136638</v>
      </c>
      <c r="C2" s="11">
        <f>A2-B2</f>
        <v>-69252</v>
      </c>
      <c r="D2" s="12">
        <f>C2/A2</f>
        <v>-1.0276912118244146</v>
      </c>
      <c r="E2" s="13" t="str">
        <f>INDEX(SpendingData[Category],MATCH(_xlfn.MAXIFS(SpendingData[Amount],SpendingData[Type],"Expense"),SpendingData[Amount],0))</f>
        <v>Groceries</v>
      </c>
    </row>
  </sheetData>
  <conditionalFormatting sqref="A1:E2">
    <cfRule type="iconSet" priority="1">
      <iconSet iconSet="4Arrows">
        <cfvo type="percent" val="0"/>
        <cfvo type="percent" val="25"/>
        <cfvo type="percent" val="50"/>
        <cfvo type="percent" val="75"/>
      </iconSet>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Personal Spending Dashboard</vt:lpstr>
      <vt:lpstr>Sheet1</vt:lpstr>
      <vt:lpstr>Pivot Visuals</vt:lpstr>
      <vt:lpstr>Spending Data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Adesanya, James</dc:creator>
  <cp:lastModifiedBy>Adesanya, James</cp:lastModifiedBy>
  <dcterms:created xsi:type="dcterms:W3CDTF">2025-10-13T17:14:41Z</dcterms:created>
  <dcterms:modified xsi:type="dcterms:W3CDTF">2025-10-29T06:43:14Z</dcterms:modified>
</cp:coreProperties>
</file>